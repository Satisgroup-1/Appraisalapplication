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tis Group Admin\Downloads\Appraisal modelling work\"/>
    </mc:Choice>
  </mc:AlternateContent>
  <xr:revisionPtr revIDLastSave="0" documentId="13_ncr:1_{3593B2C7-01BA-455C-A055-4246C3EA23EE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SUMMARY" sheetId="1" r:id="rId1"/>
    <sheet name="1. Unit Import" sheetId="2" r:id="rId2"/>
    <sheet name="2. Inputs" sheetId="3" r:id="rId3"/>
    <sheet name="3. Dev Costs" sheetId="4" r:id="rId4"/>
    <sheet name="4. Cashflow" sheetId="5" r:id="rId5"/>
    <sheet name="5. Scenarios" sheetId="6" r:id="rId6"/>
    <sheet name="6. Sensitivity" sheetId="7" r:id="rId7"/>
    <sheet name="Sheet1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7" l="1"/>
  <c r="B20" i="7"/>
  <c r="B19" i="7"/>
  <c r="B18" i="7"/>
  <c r="B17" i="7"/>
  <c r="E27" i="5"/>
  <c r="E23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F85" i="4"/>
  <c r="F65" i="4"/>
  <c r="F58" i="4"/>
  <c r="F45" i="4"/>
  <c r="F44" i="4"/>
  <c r="D37" i="4"/>
  <c r="F34" i="4"/>
  <c r="G10" i="5" s="1"/>
  <c r="F16" i="4"/>
  <c r="F15" i="4"/>
  <c r="F19" i="4" s="1"/>
  <c r="F8" i="4"/>
  <c r="F7" i="4"/>
  <c r="E8" i="5" s="1"/>
  <c r="E37" i="3"/>
  <c r="E36" i="3"/>
  <c r="E35" i="3"/>
  <c r="E22" i="3"/>
  <c r="E21" i="3"/>
  <c r="C32" i="5" s="1"/>
  <c r="E13" i="3"/>
  <c r="F44" i="2"/>
  <c r="E12" i="3" s="1"/>
  <c r="E14" i="3" s="1"/>
  <c r="F40" i="2"/>
  <c r="F71" i="4" s="1"/>
  <c r="K38" i="2"/>
  <c r="F46" i="2" s="1"/>
  <c r="F47" i="6" s="1"/>
  <c r="F48" i="6" s="1"/>
  <c r="F38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G18" i="2"/>
  <c r="I18" i="2" s="1"/>
  <c r="I17" i="2"/>
  <c r="G17" i="2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D27" i="1"/>
  <c r="D26" i="1"/>
  <c r="D25" i="1"/>
  <c r="D20" i="1"/>
  <c r="D18" i="1"/>
  <c r="D17" i="1"/>
  <c r="D15" i="1"/>
  <c r="D13" i="1"/>
  <c r="D6" i="1"/>
  <c r="AF16" i="5" l="1"/>
  <c r="I38" i="2"/>
  <c r="F42" i="2" s="1"/>
  <c r="C8" i="5"/>
  <c r="D14" i="1"/>
  <c r="F9" i="5"/>
  <c r="E9" i="5"/>
  <c r="C9" i="5" s="1"/>
  <c r="U16" i="5"/>
  <c r="AW28" i="5"/>
  <c r="AO28" i="5"/>
  <c r="AG28" i="5"/>
  <c r="Y28" i="5"/>
  <c r="AW27" i="5"/>
  <c r="AO27" i="5"/>
  <c r="AG27" i="5"/>
  <c r="Y27" i="5"/>
  <c r="AU28" i="5"/>
  <c r="AM28" i="5"/>
  <c r="AE28" i="5"/>
  <c r="W28" i="5"/>
  <c r="AU27" i="5"/>
  <c r="AM27" i="5"/>
  <c r="AE27" i="5"/>
  <c r="W27" i="5"/>
  <c r="AT28" i="5"/>
  <c r="AL28" i="5"/>
  <c r="AD28" i="5"/>
  <c r="V28" i="5"/>
  <c r="AT27" i="5"/>
  <c r="AL27" i="5"/>
  <c r="AD27" i="5"/>
  <c r="V27" i="5"/>
  <c r="AS28" i="5"/>
  <c r="AK28" i="5"/>
  <c r="AC28" i="5"/>
  <c r="U28" i="5"/>
  <c r="AS27" i="5"/>
  <c r="AK27" i="5"/>
  <c r="AC27" i="5"/>
  <c r="U27" i="5"/>
  <c r="F16" i="6"/>
  <c r="AX28" i="5"/>
  <c r="AP28" i="5"/>
  <c r="AH28" i="5"/>
  <c r="Z28" i="5"/>
  <c r="AX27" i="5"/>
  <c r="AP27" i="5"/>
  <c r="AH27" i="5"/>
  <c r="Z27" i="5"/>
  <c r="AI28" i="5"/>
  <c r="AN27" i="5"/>
  <c r="AY15" i="5"/>
  <c r="AQ15" i="5"/>
  <c r="AI15" i="5"/>
  <c r="AI16" i="5" s="1"/>
  <c r="AA15" i="5"/>
  <c r="S15" i="5"/>
  <c r="K15" i="5"/>
  <c r="AZ14" i="5"/>
  <c r="AR14" i="5"/>
  <c r="AJ14" i="5"/>
  <c r="AB14" i="5"/>
  <c r="T14" i="5"/>
  <c r="L14" i="5"/>
  <c r="AS13" i="5"/>
  <c r="AK13" i="5"/>
  <c r="AC13" i="5"/>
  <c r="U13" i="5"/>
  <c r="M13" i="5"/>
  <c r="E13" i="5"/>
  <c r="AT12" i="5"/>
  <c r="AT16" i="5" s="1"/>
  <c r="AL12" i="5"/>
  <c r="AD12" i="5"/>
  <c r="AD16" i="5" s="1"/>
  <c r="V12" i="5"/>
  <c r="N12" i="5"/>
  <c r="F12" i="5"/>
  <c r="AU11" i="5"/>
  <c r="AU16" i="5" s="1"/>
  <c r="AM11" i="5"/>
  <c r="AM16" i="5" s="1"/>
  <c r="AE11" i="5"/>
  <c r="AE16" i="5" s="1"/>
  <c r="W11" i="5"/>
  <c r="G11" i="5"/>
  <c r="AZ28" i="5"/>
  <c r="AF28" i="5"/>
  <c r="AJ27" i="5"/>
  <c r="AX15" i="5"/>
  <c r="AP15" i="5"/>
  <c r="AH15" i="5"/>
  <c r="Z15" i="5"/>
  <c r="R15" i="5"/>
  <c r="J15" i="5"/>
  <c r="AY14" i="5"/>
  <c r="AQ14" i="5"/>
  <c r="AQ16" i="5" s="1"/>
  <c r="AI14" i="5"/>
  <c r="AA14" i="5"/>
  <c r="K14" i="5"/>
  <c r="AZ13" i="5"/>
  <c r="AR13" i="5"/>
  <c r="AJ13" i="5"/>
  <c r="AB13" i="5"/>
  <c r="AB16" i="5" s="1"/>
  <c r="T13" i="5"/>
  <c r="L13" i="5"/>
  <c r="AS12" i="5"/>
  <c r="AK12" i="5"/>
  <c r="AC12" i="5"/>
  <c r="U12" i="5"/>
  <c r="M12" i="5"/>
  <c r="E12" i="5"/>
  <c r="AT11" i="5"/>
  <c r="AL11" i="5"/>
  <c r="AD11" i="5"/>
  <c r="V11" i="5"/>
  <c r="F11" i="5"/>
  <c r="AY28" i="5"/>
  <c r="AB28" i="5"/>
  <c r="AI27" i="5"/>
  <c r="AW15" i="5"/>
  <c r="AO15" i="5"/>
  <c r="AG15" i="5"/>
  <c r="Y15" i="5"/>
  <c r="Q15" i="5"/>
  <c r="I15" i="5"/>
  <c r="AX14" i="5"/>
  <c r="AP14" i="5"/>
  <c r="AH14" i="5"/>
  <c r="Z14" i="5"/>
  <c r="R14" i="5"/>
  <c r="J14" i="5"/>
  <c r="AY13" i="5"/>
  <c r="AY16" i="5" s="1"/>
  <c r="AQ13" i="5"/>
  <c r="AI13" i="5"/>
  <c r="AA13" i="5"/>
  <c r="S13" i="5"/>
  <c r="K13" i="5"/>
  <c r="AZ12" i="5"/>
  <c r="AR12" i="5"/>
  <c r="AJ12" i="5"/>
  <c r="AB12" i="5"/>
  <c r="T12" i="5"/>
  <c r="L12" i="5"/>
  <c r="AS11" i="5"/>
  <c r="AS16" i="5" s="1"/>
  <c r="AK11" i="5"/>
  <c r="AC11" i="5"/>
  <c r="AC16" i="5" s="1"/>
  <c r="U11" i="5"/>
  <c r="M11" i="5"/>
  <c r="M16" i="5" s="1"/>
  <c r="E11" i="5"/>
  <c r="AV28" i="5"/>
  <c r="AA28" i="5"/>
  <c r="AZ27" i="5"/>
  <c r="AF27" i="5"/>
  <c r="AV15" i="5"/>
  <c r="AN15" i="5"/>
  <c r="AF15" i="5"/>
  <c r="X15" i="5"/>
  <c r="P15" i="5"/>
  <c r="H15" i="5"/>
  <c r="AW14" i="5"/>
  <c r="AO14" i="5"/>
  <c r="AG14" i="5"/>
  <c r="Y14" i="5"/>
  <c r="Y16" i="5" s="1"/>
  <c r="Q14" i="5"/>
  <c r="I14" i="5"/>
  <c r="AX13" i="5"/>
  <c r="AP13" i="5"/>
  <c r="AH13" i="5"/>
  <c r="Z13" i="5"/>
  <c r="R13" i="5"/>
  <c r="J13" i="5"/>
  <c r="AY12" i="5"/>
  <c r="AQ12" i="5"/>
  <c r="AI12" i="5"/>
  <c r="AA12" i="5"/>
  <c r="S12" i="5"/>
  <c r="K12" i="5"/>
  <c r="AZ11" i="5"/>
  <c r="AZ16" i="5" s="1"/>
  <c r="AR11" i="5"/>
  <c r="AR16" i="5" s="1"/>
  <c r="AJ11" i="5"/>
  <c r="AJ16" i="5" s="1"/>
  <c r="AB11" i="5"/>
  <c r="T11" i="5"/>
  <c r="T16" i="5" s="1"/>
  <c r="AR28" i="5"/>
  <c r="X28" i="5"/>
  <c r="AY27" i="5"/>
  <c r="AB27" i="5"/>
  <c r="AU15" i="5"/>
  <c r="AM15" i="5"/>
  <c r="AE15" i="5"/>
  <c r="W15" i="5"/>
  <c r="O15" i="5"/>
  <c r="G15" i="5"/>
  <c r="AV14" i="5"/>
  <c r="AN14" i="5"/>
  <c r="AF14" i="5"/>
  <c r="X14" i="5"/>
  <c r="P14" i="5"/>
  <c r="H14" i="5"/>
  <c r="AW13" i="5"/>
  <c r="AO13" i="5"/>
  <c r="AG13" i="5"/>
  <c r="Y13" i="5"/>
  <c r="Q13" i="5"/>
  <c r="I13" i="5"/>
  <c r="AX12" i="5"/>
  <c r="AP12" i="5"/>
  <c r="AH12" i="5"/>
  <c r="Z12" i="5"/>
  <c r="R12" i="5"/>
  <c r="J12" i="5"/>
  <c r="AY11" i="5"/>
  <c r="AQ11" i="5"/>
  <c r="AI11" i="5"/>
  <c r="AA11" i="5"/>
  <c r="AA16" i="5" s="1"/>
  <c r="AQ28" i="5"/>
  <c r="T28" i="5"/>
  <c r="AV27" i="5"/>
  <c r="AA27" i="5"/>
  <c r="AT15" i="5"/>
  <c r="AL15" i="5"/>
  <c r="AD15" i="5"/>
  <c r="V15" i="5"/>
  <c r="N15" i="5"/>
  <c r="F15" i="5"/>
  <c r="AU14" i="5"/>
  <c r="AM14" i="5"/>
  <c r="AE14" i="5"/>
  <c r="W14" i="5"/>
  <c r="O14" i="5"/>
  <c r="G14" i="5"/>
  <c r="AV13" i="5"/>
  <c r="AN13" i="5"/>
  <c r="AF13" i="5"/>
  <c r="X13" i="5"/>
  <c r="P13" i="5"/>
  <c r="H13" i="5"/>
  <c r="AW12" i="5"/>
  <c r="AO12" i="5"/>
  <c r="AG12" i="5"/>
  <c r="Y12" i="5"/>
  <c r="Q12" i="5"/>
  <c r="I12" i="5"/>
  <c r="AX11" i="5"/>
  <c r="AX16" i="5" s="1"/>
  <c r="AP11" i="5"/>
  <c r="AP16" i="5" s="1"/>
  <c r="AH11" i="5"/>
  <c r="AH16" i="5" s="1"/>
  <c r="Z11" i="5"/>
  <c r="Z16" i="5" s="1"/>
  <c r="R11" i="5"/>
  <c r="R16" i="5" s="1"/>
  <c r="AN28" i="5"/>
  <c r="AR27" i="5"/>
  <c r="X27" i="5"/>
  <c r="AS15" i="5"/>
  <c r="AK15" i="5"/>
  <c r="AC15" i="5"/>
  <c r="U15" i="5"/>
  <c r="M15" i="5"/>
  <c r="E15" i="5"/>
  <c r="AT14" i="5"/>
  <c r="AL14" i="5"/>
  <c r="AD14" i="5"/>
  <c r="V14" i="5"/>
  <c r="N14" i="5"/>
  <c r="F14" i="5"/>
  <c r="AU13" i="5"/>
  <c r="AM13" i="5"/>
  <c r="AE13" i="5"/>
  <c r="W13" i="5"/>
  <c r="O13" i="5"/>
  <c r="G13" i="5"/>
  <c r="AV12" i="5"/>
  <c r="AN12" i="5"/>
  <c r="AF12" i="5"/>
  <c r="X12" i="5"/>
  <c r="P12" i="5"/>
  <c r="H12" i="5"/>
  <c r="AW11" i="5"/>
  <c r="AW16" i="5" s="1"/>
  <c r="AO11" i="5"/>
  <c r="AO16" i="5" s="1"/>
  <c r="AG11" i="5"/>
  <c r="AG16" i="5" s="1"/>
  <c r="Y11" i="5"/>
  <c r="AJ28" i="5"/>
  <c r="AQ27" i="5"/>
  <c r="T27" i="5"/>
  <c r="AZ15" i="5"/>
  <c r="AR15" i="5"/>
  <c r="AJ15" i="5"/>
  <c r="AB15" i="5"/>
  <c r="T15" i="5"/>
  <c r="L15" i="5"/>
  <c r="AS14" i="5"/>
  <c r="AK14" i="5"/>
  <c r="AK16" i="5" s="1"/>
  <c r="AC14" i="5"/>
  <c r="U14" i="5"/>
  <c r="M14" i="5"/>
  <c r="E14" i="5"/>
  <c r="AT13" i="5"/>
  <c r="AL13" i="5"/>
  <c r="AD13" i="5"/>
  <c r="V13" i="5"/>
  <c r="N13" i="5"/>
  <c r="F13" i="5"/>
  <c r="AU12" i="5"/>
  <c r="AM12" i="5"/>
  <c r="AE12" i="5"/>
  <c r="W12" i="5"/>
  <c r="O12" i="5"/>
  <c r="G12" i="5"/>
  <c r="AV11" i="5"/>
  <c r="AV16" i="5" s="1"/>
  <c r="AN11" i="5"/>
  <c r="AN16" i="5" s="1"/>
  <c r="AF11" i="5"/>
  <c r="X11" i="5"/>
  <c r="X16" i="5" s="1"/>
  <c r="F16" i="5"/>
  <c r="V16" i="5"/>
  <c r="AL16" i="5"/>
  <c r="D10" i="1"/>
  <c r="G16" i="5"/>
  <c r="W16" i="5"/>
  <c r="F46" i="4"/>
  <c r="F49" i="4" s="1"/>
  <c r="D16" i="1" s="1"/>
  <c r="P23" i="5"/>
  <c r="AF23" i="5"/>
  <c r="AV23" i="5"/>
  <c r="S23" i="5"/>
  <c r="AI23" i="5"/>
  <c r="AY23" i="5"/>
  <c r="F33" i="6"/>
  <c r="T23" i="5"/>
  <c r="AJ23" i="5"/>
  <c r="AZ23" i="5"/>
  <c r="G38" i="2"/>
  <c r="F45" i="2"/>
  <c r="U23" i="5"/>
  <c r="AK23" i="5"/>
  <c r="E24" i="6"/>
  <c r="E10" i="5"/>
  <c r="C10" i="5" s="1"/>
  <c r="X23" i="5"/>
  <c r="AN23" i="5"/>
  <c r="F10" i="5"/>
  <c r="E20" i="5"/>
  <c r="E21" i="5"/>
  <c r="E22" i="5"/>
  <c r="K23" i="5"/>
  <c r="AA23" i="5"/>
  <c r="AQ23" i="5"/>
  <c r="E63" i="6"/>
  <c r="E64" i="6" s="1"/>
  <c r="E25" i="6"/>
  <c r="AW23" i="5"/>
  <c r="AO23" i="5"/>
  <c r="AG23" i="5"/>
  <c r="Y23" i="5"/>
  <c r="Q23" i="5"/>
  <c r="I23" i="5"/>
  <c r="G26" i="5"/>
  <c r="AU23" i="5"/>
  <c r="AM23" i="5"/>
  <c r="AE23" i="5"/>
  <c r="W23" i="5"/>
  <c r="O23" i="5"/>
  <c r="G23" i="5"/>
  <c r="F26" i="5"/>
  <c r="AT23" i="5"/>
  <c r="AL23" i="5"/>
  <c r="AD23" i="5"/>
  <c r="V23" i="5"/>
  <c r="N23" i="5"/>
  <c r="F23" i="5"/>
  <c r="E26" i="5"/>
  <c r="E28" i="5" s="1"/>
  <c r="AX23" i="5"/>
  <c r="AP23" i="5"/>
  <c r="AH23" i="5"/>
  <c r="Z23" i="5"/>
  <c r="R23" i="5"/>
  <c r="J23" i="5"/>
  <c r="L23" i="5"/>
  <c r="AB23" i="5"/>
  <c r="AR23" i="5"/>
  <c r="M23" i="5"/>
  <c r="AC23" i="5"/>
  <c r="AS23" i="5"/>
  <c r="F64" i="6" l="1"/>
  <c r="F63" i="6"/>
  <c r="K11" i="5"/>
  <c r="K16" i="5" s="1"/>
  <c r="H11" i="5"/>
  <c r="H16" i="5" s="1"/>
  <c r="N11" i="5"/>
  <c r="N16" i="5" s="1"/>
  <c r="F41" i="2"/>
  <c r="D7" i="1" s="1"/>
  <c r="F43" i="2"/>
  <c r="D9" i="1" s="1"/>
  <c r="C12" i="5"/>
  <c r="S11" i="5"/>
  <c r="P11" i="5"/>
  <c r="P16" i="5" s="1"/>
  <c r="L11" i="5"/>
  <c r="L16" i="5" s="1"/>
  <c r="F39" i="6"/>
  <c r="J7" i="1"/>
  <c r="F70" i="4"/>
  <c r="F74" i="4" s="1"/>
  <c r="F5" i="6"/>
  <c r="D8" i="1"/>
  <c r="I11" i="5"/>
  <c r="I16" i="5" s="1"/>
  <c r="C15" i="5"/>
  <c r="F28" i="5"/>
  <c r="F87" i="4"/>
  <c r="O11" i="5"/>
  <c r="O16" i="5" s="1"/>
  <c r="F22" i="5"/>
  <c r="F21" i="5"/>
  <c r="C13" i="5"/>
  <c r="Q11" i="5"/>
  <c r="Q16" i="5" s="1"/>
  <c r="F24" i="6"/>
  <c r="F26" i="6" s="1"/>
  <c r="F27" i="6" s="1"/>
  <c r="E26" i="6"/>
  <c r="E27" i="6" s="1"/>
  <c r="J11" i="5"/>
  <c r="J16" i="5" s="1"/>
  <c r="F27" i="5"/>
  <c r="E16" i="5"/>
  <c r="C33" i="5" l="1"/>
  <c r="F43" i="6"/>
  <c r="D27" i="7"/>
  <c r="D30" i="7"/>
  <c r="C31" i="7"/>
  <c r="D28" i="7"/>
  <c r="D31" i="7"/>
  <c r="D29" i="7"/>
  <c r="F31" i="7"/>
  <c r="C29" i="7"/>
  <c r="C30" i="7"/>
  <c r="F27" i="7"/>
  <c r="E31" i="7"/>
  <c r="C27" i="7"/>
  <c r="C28" i="7"/>
  <c r="E27" i="7"/>
  <c r="E29" i="7"/>
  <c r="F30" i="7"/>
  <c r="F29" i="7"/>
  <c r="F28" i="7"/>
  <c r="E30" i="7"/>
  <c r="E28" i="7"/>
  <c r="D19" i="1"/>
  <c r="S14" i="5"/>
  <c r="C14" i="5" s="1"/>
  <c r="F25" i="6"/>
  <c r="E17" i="5"/>
  <c r="F6" i="6"/>
  <c r="E29" i="3"/>
  <c r="E30" i="3" s="1"/>
  <c r="C36" i="5" s="1"/>
  <c r="G27" i="5"/>
  <c r="G28" i="5" s="1"/>
  <c r="E65" i="6"/>
  <c r="F65" i="6"/>
  <c r="C11" i="5"/>
  <c r="G21" i="5"/>
  <c r="G22" i="5" s="1"/>
  <c r="J8" i="1"/>
  <c r="J10" i="1"/>
  <c r="G64" i="6"/>
  <c r="G63" i="6"/>
  <c r="G65" i="6" s="1"/>
  <c r="H27" i="5" l="1"/>
  <c r="C34" i="5"/>
  <c r="H23" i="5"/>
  <c r="C35" i="5" s="1"/>
  <c r="E24" i="5"/>
  <c r="F17" i="5"/>
  <c r="E29" i="5"/>
  <c r="H63" i="6"/>
  <c r="H65" i="6" s="1"/>
  <c r="S16" i="5"/>
  <c r="F49" i="6"/>
  <c r="F44" i="6"/>
  <c r="G25" i="6"/>
  <c r="G24" i="6"/>
  <c r="G26" i="6" s="1"/>
  <c r="G27" i="6" s="1"/>
  <c r="E25" i="5" l="1"/>
  <c r="C16" i="5"/>
  <c r="H24" i="6"/>
  <c r="H26" i="6" s="1"/>
  <c r="H27" i="6" s="1"/>
  <c r="F24" i="5"/>
  <c r="F25" i="5" s="1"/>
  <c r="G17" i="5"/>
  <c r="F29" i="5"/>
  <c r="F51" i="6"/>
  <c r="F50" i="6"/>
  <c r="G9" i="1" s="1"/>
  <c r="H64" i="6"/>
  <c r="H25" i="6" l="1"/>
  <c r="I63" i="6"/>
  <c r="I65" i="6" s="1"/>
  <c r="G24" i="5"/>
  <c r="H17" i="5"/>
  <c r="G29" i="5"/>
  <c r="I17" i="5" l="1"/>
  <c r="H24" i="5"/>
  <c r="H25" i="5" s="1"/>
  <c r="H26" i="5" s="1"/>
  <c r="H28" i="5" s="1"/>
  <c r="H29" i="5"/>
  <c r="G25" i="5"/>
  <c r="I64" i="6"/>
  <c r="I24" i="6"/>
  <c r="I26" i="6" s="1"/>
  <c r="I27" i="6" s="1"/>
  <c r="I25" i="6" l="1"/>
  <c r="J63" i="6"/>
  <c r="J65" i="6" s="1"/>
  <c r="I27" i="5"/>
  <c r="I24" i="5"/>
  <c r="J17" i="5"/>
  <c r="I29" i="5"/>
  <c r="I25" i="5" l="1"/>
  <c r="I26" i="5" s="1"/>
  <c r="I28" i="5" s="1"/>
  <c r="J24" i="5"/>
  <c r="J25" i="5" s="1"/>
  <c r="J26" i="5" s="1"/>
  <c r="K17" i="5"/>
  <c r="J29" i="5"/>
  <c r="J64" i="6"/>
  <c r="J24" i="6"/>
  <c r="J26" i="6" s="1"/>
  <c r="J27" i="6" s="1"/>
  <c r="K63" i="6" l="1"/>
  <c r="K65" i="6" s="1"/>
  <c r="K24" i="5"/>
  <c r="K25" i="5" s="1"/>
  <c r="K26" i="5" s="1"/>
  <c r="L17" i="5"/>
  <c r="K29" i="5"/>
  <c r="J25" i="6"/>
  <c r="J28" i="5"/>
  <c r="J27" i="5"/>
  <c r="L24" i="5" l="1"/>
  <c r="L25" i="5" s="1"/>
  <c r="L26" i="5" s="1"/>
  <c r="M17" i="5"/>
  <c r="L29" i="5"/>
  <c r="K27" i="5"/>
  <c r="K28" i="5" s="1"/>
  <c r="K24" i="6"/>
  <c r="K26" i="6" s="1"/>
  <c r="K27" i="6" s="1"/>
  <c r="K25" i="6"/>
  <c r="K64" i="6"/>
  <c r="L27" i="5" l="1"/>
  <c r="L28" i="5" s="1"/>
  <c r="L24" i="6"/>
  <c r="L26" i="6" s="1"/>
  <c r="L27" i="6" s="1"/>
  <c r="M24" i="5"/>
  <c r="M25" i="5" s="1"/>
  <c r="M26" i="5" s="1"/>
  <c r="N17" i="5"/>
  <c r="M29" i="5"/>
  <c r="L64" i="6"/>
  <c r="L63" i="6"/>
  <c r="L65" i="6" s="1"/>
  <c r="M27" i="5" l="1"/>
  <c r="M28" i="5"/>
  <c r="N24" i="5"/>
  <c r="N25" i="5" s="1"/>
  <c r="N26" i="5" s="1"/>
  <c r="O17" i="5"/>
  <c r="N29" i="5"/>
  <c r="M63" i="6"/>
  <c r="M65" i="6" s="1"/>
  <c r="L25" i="6"/>
  <c r="M24" i="6" l="1"/>
  <c r="M26" i="6" s="1"/>
  <c r="M27" i="6" s="1"/>
  <c r="O24" i="5"/>
  <c r="O25" i="5" s="1"/>
  <c r="O26" i="5" s="1"/>
  <c r="P17" i="5"/>
  <c r="O29" i="5"/>
  <c r="M64" i="6"/>
  <c r="N28" i="5"/>
  <c r="N27" i="5"/>
  <c r="O27" i="5" l="1"/>
  <c r="O28" i="5" s="1"/>
  <c r="N63" i="6"/>
  <c r="N65" i="6" s="1"/>
  <c r="N64" i="6"/>
  <c r="Q17" i="5"/>
  <c r="P24" i="5"/>
  <c r="P25" i="5" s="1"/>
  <c r="P26" i="5" s="1"/>
  <c r="P29" i="5"/>
  <c r="M25" i="6"/>
  <c r="P27" i="5" l="1"/>
  <c r="P28" i="5" s="1"/>
  <c r="O63" i="6"/>
  <c r="O65" i="6" s="1"/>
  <c r="N24" i="6"/>
  <c r="N26" i="6" s="1"/>
  <c r="N27" i="6" s="1"/>
  <c r="Q24" i="5"/>
  <c r="Q25" i="5" s="1"/>
  <c r="Q26" i="5" s="1"/>
  <c r="R17" i="5"/>
  <c r="Q29" i="5"/>
  <c r="Q27" i="5" l="1"/>
  <c r="Q28" i="5"/>
  <c r="R24" i="5"/>
  <c r="R25" i="5" s="1"/>
  <c r="R26" i="5" s="1"/>
  <c r="S17" i="5"/>
  <c r="R29" i="5"/>
  <c r="N25" i="6"/>
  <c r="O64" i="6"/>
  <c r="S24" i="5" l="1"/>
  <c r="S25" i="5" s="1"/>
  <c r="S26" i="5" s="1"/>
  <c r="T17" i="5"/>
  <c r="S29" i="5"/>
  <c r="P64" i="6"/>
  <c r="P63" i="6"/>
  <c r="P65" i="6" s="1"/>
  <c r="O24" i="6"/>
  <c r="O26" i="6" s="1"/>
  <c r="O27" i="6" s="1"/>
  <c r="R28" i="5"/>
  <c r="R27" i="5"/>
  <c r="S27" i="5" l="1"/>
  <c r="C37" i="5" s="1"/>
  <c r="O25" i="6"/>
  <c r="Q63" i="6"/>
  <c r="Q65" i="6" s="1"/>
  <c r="T24" i="5"/>
  <c r="T25" i="5" s="1"/>
  <c r="T26" i="5" s="1"/>
  <c r="U17" i="5"/>
  <c r="T29" i="5"/>
  <c r="U24" i="5" l="1"/>
  <c r="U25" i="5" s="1"/>
  <c r="U26" i="5" s="1"/>
  <c r="V17" i="5"/>
  <c r="U29" i="5"/>
  <c r="P24" i="6"/>
  <c r="P26" i="6" s="1"/>
  <c r="P27" i="6" s="1"/>
  <c r="Q64" i="6"/>
  <c r="S28" i="5"/>
  <c r="C38" i="5" l="1"/>
  <c r="C41" i="5"/>
  <c r="R63" i="6"/>
  <c r="R65" i="6" s="1"/>
  <c r="P25" i="6"/>
  <c r="V24" i="5"/>
  <c r="V25" i="5" s="1"/>
  <c r="V26" i="5" s="1"/>
  <c r="W17" i="5"/>
  <c r="V29" i="5"/>
  <c r="Q24" i="6" l="1"/>
  <c r="Q26" i="6" s="1"/>
  <c r="Q27" i="6" s="1"/>
  <c r="Q25" i="6"/>
  <c r="D28" i="1"/>
  <c r="C42" i="5"/>
  <c r="W24" i="5"/>
  <c r="W25" i="5" s="1"/>
  <c r="W26" i="5" s="1"/>
  <c r="X17" i="5"/>
  <c r="W29" i="5"/>
  <c r="R64" i="6"/>
  <c r="C39" i="5"/>
  <c r="C43" i="5" s="1"/>
  <c r="S63" i="6" l="1"/>
  <c r="S65" i="6" s="1"/>
  <c r="Y17" i="5"/>
  <c r="X24" i="5"/>
  <c r="X25" i="5" s="1"/>
  <c r="X26" i="5" s="1"/>
  <c r="X29" i="5"/>
  <c r="D42" i="5"/>
  <c r="D29" i="1"/>
  <c r="R24" i="6"/>
  <c r="R26" i="6" s="1"/>
  <c r="R27" i="6" s="1"/>
  <c r="F7" i="6"/>
  <c r="D21" i="1"/>
  <c r="C44" i="5"/>
  <c r="C40" i="5"/>
  <c r="E28" i="6" l="1"/>
  <c r="F12" i="6"/>
  <c r="F4" i="7"/>
  <c r="D22" i="1"/>
  <c r="D30" i="1"/>
  <c r="F8" i="6"/>
  <c r="Y24" i="5"/>
  <c r="Y25" i="5" s="1"/>
  <c r="Y26" i="5" s="1"/>
  <c r="Z17" i="5"/>
  <c r="Y29" i="5"/>
  <c r="R25" i="6"/>
  <c r="S64" i="6"/>
  <c r="T63" i="6" l="1"/>
  <c r="T65" i="6" s="1"/>
  <c r="S24" i="6"/>
  <c r="S26" i="6" s="1"/>
  <c r="S27" i="6" s="1"/>
  <c r="S25" i="6"/>
  <c r="F59" i="6"/>
  <c r="F45" i="6"/>
  <c r="F46" i="6" s="1"/>
  <c r="F52" i="6" s="1"/>
  <c r="F53" i="6" s="1"/>
  <c r="I9" i="1" s="1"/>
  <c r="Z24" i="5"/>
  <c r="Z25" i="5" s="1"/>
  <c r="Z26" i="5" s="1"/>
  <c r="AA17" i="5"/>
  <c r="Z29" i="5"/>
  <c r="F9" i="6"/>
  <c r="C11" i="7"/>
  <c r="C10" i="7"/>
  <c r="C9" i="7"/>
  <c r="C12" i="7"/>
  <c r="C8" i="7"/>
  <c r="E29" i="6"/>
  <c r="E30" i="6"/>
  <c r="AB17" i="5" l="1"/>
  <c r="AA24" i="5"/>
  <c r="AA25" i="5" s="1"/>
  <c r="AA26" i="5" s="1"/>
  <c r="AA29" i="5"/>
  <c r="D18" i="7"/>
  <c r="C18" i="7"/>
  <c r="G18" i="7"/>
  <c r="F18" i="7"/>
  <c r="E18" i="7"/>
  <c r="D9" i="7"/>
  <c r="F19" i="7"/>
  <c r="E19" i="7"/>
  <c r="D19" i="7"/>
  <c r="C19" i="7"/>
  <c r="G19" i="7"/>
  <c r="D10" i="7"/>
  <c r="G21" i="7"/>
  <c r="F21" i="7"/>
  <c r="E21" i="7"/>
  <c r="D21" i="7"/>
  <c r="C21" i="7"/>
  <c r="D12" i="7"/>
  <c r="E66" i="6"/>
  <c r="F60" i="6"/>
  <c r="T24" i="6"/>
  <c r="T26" i="6" s="1"/>
  <c r="T27" i="6" s="1"/>
  <c r="G17" i="7"/>
  <c r="F17" i="7"/>
  <c r="E17" i="7"/>
  <c r="D17" i="7"/>
  <c r="C17" i="7"/>
  <c r="D8" i="7"/>
  <c r="G20" i="7"/>
  <c r="F20" i="7"/>
  <c r="E20" i="7"/>
  <c r="D20" i="7"/>
  <c r="C20" i="7"/>
  <c r="D11" i="7"/>
  <c r="F14" i="6"/>
  <c r="F13" i="6"/>
  <c r="F15" i="6" s="1"/>
  <c r="F54" i="6"/>
  <c r="H9" i="1" s="1"/>
  <c r="G7" i="1"/>
  <c r="F11" i="6"/>
  <c r="H7" i="1" s="1"/>
  <c r="F10" i="6"/>
  <c r="E31" i="6"/>
  <c r="F28" i="6" s="1"/>
  <c r="T64" i="6"/>
  <c r="U63" i="6" l="1"/>
  <c r="U65" i="6" s="1"/>
  <c r="F29" i="6"/>
  <c r="F30" i="6"/>
  <c r="I7" i="1"/>
  <c r="F17" i="6"/>
  <c r="E68" i="6"/>
  <c r="E67" i="6"/>
  <c r="T25" i="6"/>
  <c r="AB24" i="5"/>
  <c r="AB25" i="5" s="1"/>
  <c r="AB26" i="5" s="1"/>
  <c r="AC17" i="5"/>
  <c r="AB29" i="5"/>
  <c r="AC24" i="5" l="1"/>
  <c r="AC25" i="5" s="1"/>
  <c r="AC26" i="5" s="1"/>
  <c r="AD17" i="5"/>
  <c r="AC29" i="5"/>
  <c r="U24" i="6"/>
  <c r="U26" i="6" s="1"/>
  <c r="U27" i="6" s="1"/>
  <c r="F31" i="6"/>
  <c r="G28" i="6" s="1"/>
  <c r="E69" i="6"/>
  <c r="F66" i="6" s="1"/>
  <c r="U64" i="6"/>
  <c r="G29" i="6" l="1"/>
  <c r="U25" i="6"/>
  <c r="AD24" i="5"/>
  <c r="AD25" i="5" s="1"/>
  <c r="AD26" i="5" s="1"/>
  <c r="AE17" i="5"/>
  <c r="AD29" i="5"/>
  <c r="V63" i="6"/>
  <c r="V65" i="6" s="1"/>
  <c r="F67" i="6"/>
  <c r="F68" i="6"/>
  <c r="AE24" i="5" l="1"/>
  <c r="AE25" i="5" s="1"/>
  <c r="AE26" i="5" s="1"/>
  <c r="AF17" i="5"/>
  <c r="AE29" i="5"/>
  <c r="V25" i="6"/>
  <c r="V24" i="6"/>
  <c r="V26" i="6" s="1"/>
  <c r="V27" i="6" s="1"/>
  <c r="F69" i="6"/>
  <c r="G66" i="6" s="1"/>
  <c r="V64" i="6"/>
  <c r="G30" i="6"/>
  <c r="G31" i="6" s="1"/>
  <c r="H28" i="6" s="1"/>
  <c r="H29" i="6" l="1"/>
  <c r="H30" i="6" s="1"/>
  <c r="H31" i="6" s="1"/>
  <c r="I28" i="6" s="1"/>
  <c r="G67" i="6"/>
  <c r="G68" i="6"/>
  <c r="W24" i="6"/>
  <c r="W26" i="6" s="1"/>
  <c r="W27" i="6" s="1"/>
  <c r="W63" i="6"/>
  <c r="W65" i="6" s="1"/>
  <c r="AG17" i="5"/>
  <c r="AF24" i="5"/>
  <c r="AF25" i="5" s="1"/>
  <c r="AF26" i="5" s="1"/>
  <c r="AF29" i="5"/>
  <c r="I29" i="6" l="1"/>
  <c r="I30" i="6" s="1"/>
  <c r="AG24" i="5"/>
  <c r="AG25" i="5" s="1"/>
  <c r="AG26" i="5" s="1"/>
  <c r="AH17" i="5"/>
  <c r="AG29" i="5"/>
  <c r="W25" i="6"/>
  <c r="G69" i="6"/>
  <c r="H66" i="6" s="1"/>
  <c r="W64" i="6"/>
  <c r="X24" i="6" l="1"/>
  <c r="X26" i="6" s="1"/>
  <c r="X27" i="6" s="1"/>
  <c r="AH24" i="5"/>
  <c r="AH25" i="5" s="1"/>
  <c r="AH26" i="5" s="1"/>
  <c r="AI17" i="5"/>
  <c r="AH29" i="5"/>
  <c r="I31" i="6"/>
  <c r="J28" i="6" s="1"/>
  <c r="X64" i="6"/>
  <c r="X63" i="6"/>
  <c r="X65" i="6" s="1"/>
  <c r="H67" i="6"/>
  <c r="H69" i="6" s="1"/>
  <c r="I66" i="6" s="1"/>
  <c r="H68" i="6"/>
  <c r="I67" i="6" l="1"/>
  <c r="I69" i="6" s="1"/>
  <c r="J66" i="6" s="1"/>
  <c r="I68" i="6"/>
  <c r="Y63" i="6"/>
  <c r="Y65" i="6" s="1"/>
  <c r="J29" i="6"/>
  <c r="J30" i="6" s="1"/>
  <c r="AJ17" i="5"/>
  <c r="AI24" i="5"/>
  <c r="AI25" i="5" s="1"/>
  <c r="AI26" i="5" s="1"/>
  <c r="AI29" i="5"/>
  <c r="X25" i="6"/>
  <c r="J67" i="6" l="1"/>
  <c r="J68" i="6" s="1"/>
  <c r="J31" i="6"/>
  <c r="K28" i="6" s="1"/>
  <c r="Y24" i="6"/>
  <c r="Y26" i="6" s="1"/>
  <c r="Y27" i="6" s="1"/>
  <c r="Y64" i="6"/>
  <c r="AK17" i="5"/>
  <c r="AJ24" i="5"/>
  <c r="AJ25" i="5" s="1"/>
  <c r="AJ26" i="5" s="1"/>
  <c r="AJ29" i="5"/>
  <c r="AK24" i="5" l="1"/>
  <c r="AK25" i="5" s="1"/>
  <c r="AK26" i="5" s="1"/>
  <c r="AL17" i="5"/>
  <c r="AK29" i="5"/>
  <c r="Y25" i="6"/>
  <c r="K29" i="6"/>
  <c r="K30" i="6"/>
  <c r="K31" i="6" s="1"/>
  <c r="L28" i="6" s="1"/>
  <c r="J69" i="6"/>
  <c r="K66" i="6" s="1"/>
  <c r="Z63" i="6"/>
  <c r="Z65" i="6" s="1"/>
  <c r="L29" i="6" l="1"/>
  <c r="L30" i="6"/>
  <c r="L31" i="6" s="1"/>
  <c r="M28" i="6" s="1"/>
  <c r="K67" i="6"/>
  <c r="K68" i="6" s="1"/>
  <c r="Z24" i="6"/>
  <c r="Z26" i="6" s="1"/>
  <c r="Z27" i="6" s="1"/>
  <c r="Z25" i="6"/>
  <c r="AL24" i="5"/>
  <c r="AL25" i="5" s="1"/>
  <c r="AL26" i="5" s="1"/>
  <c r="AM17" i="5"/>
  <c r="AL29" i="5"/>
  <c r="Z64" i="6"/>
  <c r="M29" i="6" l="1"/>
  <c r="AA24" i="6"/>
  <c r="AA26" i="6" s="1"/>
  <c r="AA27" i="6" s="1"/>
  <c r="K69" i="6"/>
  <c r="L66" i="6" s="1"/>
  <c r="AA63" i="6"/>
  <c r="AA65" i="6" s="1"/>
  <c r="AM24" i="5"/>
  <c r="AM25" i="5" s="1"/>
  <c r="AM26" i="5" s="1"/>
  <c r="AN17" i="5"/>
  <c r="AM29" i="5"/>
  <c r="L67" i="6" l="1"/>
  <c r="L68" i="6" s="1"/>
  <c r="L69" i="6" s="1"/>
  <c r="M66" i="6" s="1"/>
  <c r="AA25" i="6"/>
  <c r="AA64" i="6"/>
  <c r="M30" i="6"/>
  <c r="M31" i="6" s="1"/>
  <c r="N28" i="6" s="1"/>
  <c r="AN24" i="5"/>
  <c r="AN25" i="5" s="1"/>
  <c r="AN26" i="5" s="1"/>
  <c r="AO17" i="5"/>
  <c r="AN29" i="5"/>
  <c r="N29" i="6" l="1"/>
  <c r="N31" i="6" s="1"/>
  <c r="O28" i="6" s="1"/>
  <c r="N30" i="6"/>
  <c r="M67" i="6"/>
  <c r="M68" i="6" s="1"/>
  <c r="AO24" i="5"/>
  <c r="AO25" i="5" s="1"/>
  <c r="AO26" i="5" s="1"/>
  <c r="AP17" i="5"/>
  <c r="AO29" i="5"/>
  <c r="AB24" i="6"/>
  <c r="AB26" i="6" s="1"/>
  <c r="AB27" i="6" s="1"/>
  <c r="AB63" i="6"/>
  <c r="AB65" i="6" s="1"/>
  <c r="O29" i="6" l="1"/>
  <c r="AB64" i="6"/>
  <c r="M69" i="6"/>
  <c r="N66" i="6" s="1"/>
  <c r="AB25" i="6"/>
  <c r="AP24" i="5"/>
  <c r="AP25" i="5" s="1"/>
  <c r="AP26" i="5" s="1"/>
  <c r="AQ17" i="5"/>
  <c r="AP29" i="5"/>
  <c r="AQ24" i="5" l="1"/>
  <c r="AQ25" i="5" s="1"/>
  <c r="AQ26" i="5" s="1"/>
  <c r="AR17" i="5"/>
  <c r="AQ29" i="5"/>
  <c r="AC24" i="6"/>
  <c r="AC26" i="6" s="1"/>
  <c r="AC27" i="6" s="1"/>
  <c r="O30" i="6"/>
  <c r="O31" i="6" s="1"/>
  <c r="P28" i="6" s="1"/>
  <c r="N67" i="6"/>
  <c r="N68" i="6" s="1"/>
  <c r="N69" i="6" s="1"/>
  <c r="O66" i="6" s="1"/>
  <c r="AC63" i="6"/>
  <c r="AC65" i="6" s="1"/>
  <c r="O67" i="6" l="1"/>
  <c r="O69" i="6" s="1"/>
  <c r="P66" i="6" s="1"/>
  <c r="O68" i="6"/>
  <c r="P29" i="6"/>
  <c r="AR24" i="5"/>
  <c r="AR25" i="5" s="1"/>
  <c r="AR26" i="5" s="1"/>
  <c r="AS17" i="5"/>
  <c r="AR29" i="5"/>
  <c r="AC64" i="6"/>
  <c r="AC25" i="6"/>
  <c r="P67" i="6" l="1"/>
  <c r="P69" i="6" s="1"/>
  <c r="Q66" i="6" s="1"/>
  <c r="P68" i="6"/>
  <c r="AS24" i="5"/>
  <c r="AS25" i="5" s="1"/>
  <c r="AS26" i="5" s="1"/>
  <c r="AT17" i="5"/>
  <c r="AS29" i="5"/>
  <c r="P30" i="6"/>
  <c r="P31" i="6" s="1"/>
  <c r="Q28" i="6" s="1"/>
  <c r="AD24" i="6"/>
  <c r="AD26" i="6" s="1"/>
  <c r="AD27" i="6" s="1"/>
  <c r="AD63" i="6"/>
  <c r="AD65" i="6" s="1"/>
  <c r="AD64" i="6"/>
  <c r="Q30" i="6" l="1"/>
  <c r="Q29" i="6"/>
  <c r="Q31" i="6" s="1"/>
  <c r="R28" i="6" s="1"/>
  <c r="Q67" i="6"/>
  <c r="Q69" i="6" s="1"/>
  <c r="R66" i="6" s="1"/>
  <c r="Q68" i="6"/>
  <c r="AE63" i="6"/>
  <c r="AE65" i="6" s="1"/>
  <c r="AT24" i="5"/>
  <c r="AT25" i="5" s="1"/>
  <c r="AT26" i="5" s="1"/>
  <c r="AU17" i="5"/>
  <c r="AT29" i="5"/>
  <c r="AD25" i="6"/>
  <c r="R67" i="6" l="1"/>
  <c r="R68" i="6" s="1"/>
  <c r="R29" i="6"/>
  <c r="R30" i="6" s="1"/>
  <c r="AE64" i="6"/>
  <c r="AE24" i="6"/>
  <c r="AE26" i="6" s="1"/>
  <c r="AE27" i="6" s="1"/>
  <c r="AU24" i="5"/>
  <c r="AU25" i="5" s="1"/>
  <c r="AU26" i="5" s="1"/>
  <c r="AV17" i="5"/>
  <c r="AU29" i="5"/>
  <c r="AF63" i="6" l="1"/>
  <c r="AF65" i="6" s="1"/>
  <c r="R31" i="6"/>
  <c r="S28" i="6" s="1"/>
  <c r="AW17" i="5"/>
  <c r="AV24" i="5"/>
  <c r="AV25" i="5" s="1"/>
  <c r="AV26" i="5" s="1"/>
  <c r="AV29" i="5"/>
  <c r="R69" i="6"/>
  <c r="S66" i="6" s="1"/>
  <c r="AE25" i="6"/>
  <c r="AF24" i="6" l="1"/>
  <c r="AF26" i="6" s="1"/>
  <c r="AF27" i="6" s="1"/>
  <c r="S67" i="6"/>
  <c r="S68" i="6" s="1"/>
  <c r="AW24" i="5"/>
  <c r="AW25" i="5" s="1"/>
  <c r="AW26" i="5" s="1"/>
  <c r="AX17" i="5"/>
  <c r="AW29" i="5"/>
  <c r="S30" i="6"/>
  <c r="S29" i="6"/>
  <c r="S31" i="6" s="1"/>
  <c r="T28" i="6" s="1"/>
  <c r="AF64" i="6"/>
  <c r="T30" i="6" l="1"/>
  <c r="T31" i="6" s="1"/>
  <c r="U28" i="6" s="1"/>
  <c r="T29" i="6"/>
  <c r="AG63" i="6"/>
  <c r="AG65" i="6" s="1"/>
  <c r="AX24" i="5"/>
  <c r="AX25" i="5" s="1"/>
  <c r="AX26" i="5" s="1"/>
  <c r="AY17" i="5"/>
  <c r="AX29" i="5"/>
  <c r="S69" i="6"/>
  <c r="T66" i="6" s="1"/>
  <c r="AF25" i="6"/>
  <c r="U29" i="6" l="1"/>
  <c r="U31" i="6" s="1"/>
  <c r="V28" i="6" s="1"/>
  <c r="U30" i="6"/>
  <c r="T67" i="6"/>
  <c r="AZ17" i="5"/>
  <c r="AY24" i="5"/>
  <c r="AY25" i="5" s="1"/>
  <c r="AY26" i="5" s="1"/>
  <c r="AY29" i="5"/>
  <c r="AG64" i="6"/>
  <c r="AG24" i="6"/>
  <c r="AG26" i="6" s="1"/>
  <c r="AG27" i="6" s="1"/>
  <c r="AG25" i="6"/>
  <c r="V31" i="6" l="1"/>
  <c r="W28" i="6" s="1"/>
  <c r="V29" i="6"/>
  <c r="V30" i="6"/>
  <c r="T68" i="6"/>
  <c r="T69" i="6" s="1"/>
  <c r="U66" i="6" s="1"/>
  <c r="AH24" i="6"/>
  <c r="AH26" i="6" s="1"/>
  <c r="AH27" i="6" s="1"/>
  <c r="AH25" i="6"/>
  <c r="AZ24" i="5"/>
  <c r="AZ29" i="5"/>
  <c r="AH63" i="6"/>
  <c r="AH65" i="6" s="1"/>
  <c r="U68" i="6" l="1"/>
  <c r="U67" i="6"/>
  <c r="U69" i="6" s="1"/>
  <c r="V66" i="6" s="1"/>
  <c r="AZ25" i="5"/>
  <c r="AZ26" i="5" s="1"/>
  <c r="C45" i="5"/>
  <c r="AI24" i="6"/>
  <c r="AI26" i="6" s="1"/>
  <c r="AI27" i="6" s="1"/>
  <c r="W29" i="6"/>
  <c r="W30" i="6" s="1"/>
  <c r="W31" i="6" s="1"/>
  <c r="X28" i="6" s="1"/>
  <c r="AH64" i="6"/>
  <c r="X29" i="6" l="1"/>
  <c r="V67" i="6"/>
  <c r="V69" i="6" s="1"/>
  <c r="W66" i="6" s="1"/>
  <c r="V68" i="6"/>
  <c r="AI25" i="6"/>
  <c r="AI63" i="6"/>
  <c r="AI65" i="6" s="1"/>
  <c r="W67" i="6" l="1"/>
  <c r="AJ24" i="6"/>
  <c r="AJ26" i="6" s="1"/>
  <c r="AJ27" i="6" s="1"/>
  <c r="AI64" i="6"/>
  <c r="X30" i="6"/>
  <c r="X31" i="6" s="1"/>
  <c r="Y28" i="6" s="1"/>
  <c r="Y29" i="6" l="1"/>
  <c r="Y30" i="6" s="1"/>
  <c r="AJ63" i="6"/>
  <c r="AJ65" i="6" s="1"/>
  <c r="AJ25" i="6"/>
  <c r="W68" i="6"/>
  <c r="W69" i="6" s="1"/>
  <c r="X66" i="6" s="1"/>
  <c r="X67" i="6" l="1"/>
  <c r="X69" i="6" s="1"/>
  <c r="Y66" i="6" s="1"/>
  <c r="X68" i="6"/>
  <c r="AK24" i="6"/>
  <c r="AK26" i="6" s="1"/>
  <c r="AK27" i="6" s="1"/>
  <c r="AJ64" i="6"/>
  <c r="Y31" i="6"/>
  <c r="Z28" i="6" s="1"/>
  <c r="Y69" i="6" l="1"/>
  <c r="Z66" i="6" s="1"/>
  <c r="Y67" i="6"/>
  <c r="Y68" i="6"/>
  <c r="Z29" i="6"/>
  <c r="Z30" i="6" s="1"/>
  <c r="AK63" i="6"/>
  <c r="AK65" i="6" s="1"/>
  <c r="AK25" i="6"/>
  <c r="AL25" i="6" l="1"/>
  <c r="AL24" i="6"/>
  <c r="AL26" i="6" s="1"/>
  <c r="AL27" i="6" s="1"/>
  <c r="Z67" i="6"/>
  <c r="Z68" i="6" s="1"/>
  <c r="Z69" i="6" s="1"/>
  <c r="AA66" i="6" s="1"/>
  <c r="AK64" i="6"/>
  <c r="Z31" i="6"/>
  <c r="AA28" i="6" s="1"/>
  <c r="AA67" i="6" l="1"/>
  <c r="AA68" i="6" s="1"/>
  <c r="AM24" i="6"/>
  <c r="AM26" i="6" s="1"/>
  <c r="AM27" i="6" s="1"/>
  <c r="AA29" i="6"/>
  <c r="AA30" i="6" s="1"/>
  <c r="AL63" i="6"/>
  <c r="AL65" i="6" s="1"/>
  <c r="AL64" i="6"/>
  <c r="AA31" i="6" l="1"/>
  <c r="AB28" i="6" s="1"/>
  <c r="AM25" i="6"/>
  <c r="AM63" i="6"/>
  <c r="AM65" i="6" s="1"/>
  <c r="AM64" i="6"/>
  <c r="AA69" i="6"/>
  <c r="AB66" i="6" s="1"/>
  <c r="AN24" i="6" l="1"/>
  <c r="AN26" i="6" s="1"/>
  <c r="AN27" i="6" s="1"/>
  <c r="AB67" i="6"/>
  <c r="AB68" i="6" s="1"/>
  <c r="AN63" i="6"/>
  <c r="AN65" i="6" s="1"/>
  <c r="AB29" i="6"/>
  <c r="AB30" i="6" s="1"/>
  <c r="AB31" i="6" l="1"/>
  <c r="AC28" i="6" s="1"/>
  <c r="AN64" i="6"/>
  <c r="AB69" i="6"/>
  <c r="AC66" i="6" s="1"/>
  <c r="AN25" i="6"/>
  <c r="AC29" i="6" l="1"/>
  <c r="AC30" i="6" s="1"/>
  <c r="AC31" i="6" s="1"/>
  <c r="AD28" i="6" s="1"/>
  <c r="AC67" i="6"/>
  <c r="AC68" i="6" s="1"/>
  <c r="AD29" i="6" l="1"/>
  <c r="AD31" i="6" s="1"/>
  <c r="AE28" i="6" s="1"/>
  <c r="AD30" i="6"/>
  <c r="AC69" i="6"/>
  <c r="AD66" i="6" s="1"/>
  <c r="AE29" i="6" l="1"/>
  <c r="AE30" i="6"/>
  <c r="AE31" i="6"/>
  <c r="AF28" i="6" s="1"/>
  <c r="AD67" i="6"/>
  <c r="AD69" i="6" s="1"/>
  <c r="AE66" i="6" s="1"/>
  <c r="AD68" i="6"/>
  <c r="AE69" i="6" l="1"/>
  <c r="AF66" i="6" s="1"/>
  <c r="AE67" i="6"/>
  <c r="AE68" i="6"/>
  <c r="AF29" i="6"/>
  <c r="AF30" i="6"/>
  <c r="AF31" i="6" s="1"/>
  <c r="AG28" i="6" s="1"/>
  <c r="AG29" i="6" l="1"/>
  <c r="AG30" i="6" s="1"/>
  <c r="AG31" i="6" s="1"/>
  <c r="AH28" i="6" s="1"/>
  <c r="AF67" i="6"/>
  <c r="AF69" i="6" s="1"/>
  <c r="AG66" i="6" s="1"/>
  <c r="AF68" i="6"/>
  <c r="AG67" i="6" l="1"/>
  <c r="AG69" i="6" s="1"/>
  <c r="AH66" i="6" s="1"/>
  <c r="AG68" i="6"/>
  <c r="AH29" i="6"/>
  <c r="AH30" i="6" s="1"/>
  <c r="AH67" i="6" l="1"/>
  <c r="AH68" i="6" s="1"/>
  <c r="AH69" i="6" s="1"/>
  <c r="AI66" i="6" s="1"/>
  <c r="AH31" i="6"/>
  <c r="AI28" i="6" s="1"/>
  <c r="AI67" i="6" l="1"/>
  <c r="AI68" i="6" s="1"/>
  <c r="AI69" i="6" s="1"/>
  <c r="AJ66" i="6" s="1"/>
  <c r="AI29" i="6"/>
  <c r="AI31" i="6" s="1"/>
  <c r="AJ28" i="6" s="1"/>
  <c r="AI30" i="6"/>
  <c r="AJ29" i="6" l="1"/>
  <c r="AJ67" i="6"/>
  <c r="AJ68" i="6" l="1"/>
  <c r="AJ69" i="6" s="1"/>
  <c r="AK66" i="6" s="1"/>
  <c r="AJ30" i="6"/>
  <c r="AJ31" i="6" s="1"/>
  <c r="AK28" i="6" s="1"/>
  <c r="AK29" i="6" l="1"/>
  <c r="AK31" i="6" s="1"/>
  <c r="AL28" i="6" s="1"/>
  <c r="AK30" i="6"/>
  <c r="AK67" i="6"/>
  <c r="AL29" i="6" l="1"/>
  <c r="AL31" i="6" s="1"/>
  <c r="AM28" i="6" s="1"/>
  <c r="AL30" i="6"/>
  <c r="AK68" i="6"/>
  <c r="AK69" i="6" s="1"/>
  <c r="AL66" i="6" s="1"/>
  <c r="AL67" i="6" l="1"/>
  <c r="AL69" i="6" s="1"/>
  <c r="AM66" i="6" s="1"/>
  <c r="AL68" i="6"/>
  <c r="AM29" i="6"/>
  <c r="AM30" i="6" s="1"/>
  <c r="AM67" i="6" l="1"/>
  <c r="AM69" i="6" s="1"/>
  <c r="AN66" i="6" s="1"/>
  <c r="AM68" i="6"/>
  <c r="AM31" i="6"/>
  <c r="AN28" i="6" s="1"/>
  <c r="AN67" i="6" l="1"/>
  <c r="F71" i="6" s="1"/>
  <c r="F72" i="6" s="1"/>
  <c r="AN29" i="6"/>
  <c r="F35" i="6" s="1"/>
  <c r="F36" i="6" s="1"/>
  <c r="F74" i="6" l="1"/>
  <c r="F75" i="6" s="1"/>
  <c r="I10" i="1" s="1"/>
  <c r="F73" i="6"/>
  <c r="G10" i="1"/>
  <c r="H10" i="1"/>
  <c r="F37" i="6"/>
  <c r="F38" i="6" s="1"/>
  <c r="I8" i="1" s="1"/>
  <c r="G8" i="1"/>
  <c r="H8" i="1"/>
  <c r="AN30" i="6"/>
  <c r="AN31" i="6" s="1"/>
  <c r="F34" i="6" s="1"/>
  <c r="AN68" i="6"/>
  <c r="AN69" i="6" s="1"/>
</calcChain>
</file>

<file path=xl/sharedStrings.xml><?xml version="1.0" encoding="utf-8"?>
<sst xmlns="http://schemas.openxmlformats.org/spreadsheetml/2006/main" count="397" uniqueCount="337">
  <si>
    <t>DEVELOPMENT APPRAISAL — SUMMARY</t>
  </si>
  <si>
    <t>[Enter scheme address here]</t>
  </si>
  <si>
    <t>SCHEME</t>
  </si>
  <si>
    <t>SCENARIO COMPARISON</t>
  </si>
  <si>
    <t>Total units</t>
  </si>
  <si>
    <t>Scenario</t>
  </si>
  <si>
    <t>Net profit</t>
  </si>
  <si>
    <t>Profit on GDV</t>
  </si>
  <si>
    <t>Investor ROI</t>
  </si>
  <si>
    <t>Months</t>
  </si>
  <si>
    <t>Total NIA (sqft)</t>
  </si>
  <si>
    <t>S1 — Immediate sale at PC</t>
  </si>
  <si>
    <t>GDV</t>
  </si>
  <si>
    <t>S2 — Delayed sales (dev loan)</t>
  </si>
  <si>
    <t>Average £psf</t>
  </si>
  <si>
    <t>S3 — Refinance &amp; rent (pa cashflow)</t>
  </si>
  <si>
    <t>"hold"</t>
  </si>
  <si>
    <t>Programme (months to PC)</t>
  </si>
  <si>
    <t>S4 — Refinance then delayed sales</t>
  </si>
  <si>
    <t>S3 shows annual rental cashflow (not a one-off profit); unrealised profit stays in the asset.</t>
  </si>
  <si>
    <t>COSTS</t>
  </si>
  <si>
    <t>(A) Purchase price</t>
  </si>
  <si>
    <t>KEY ASSUMPTIONS &amp; NOTES</t>
  </si>
  <si>
    <t>(B) Legals</t>
  </si>
  <si>
    <t>1. Costs spread evenly within each phase (no S-curve): legals over the legal period, professional fees over pre-construction, build costs over construction.</t>
  </si>
  <si>
    <t>(C) Professional fees</t>
  </si>
  <si>
    <t>2. Bridge: interest &amp; arrangement fee rolled up from site purchase; redeemed (plus exit fee) by the first development loan drawdown at construction start.</t>
  </si>
  <si>
    <t>(D) Development costs</t>
  </si>
  <si>
    <t>3. Development loan: fully rolled up; equity deploys first, loan funds the balance monthly. Arrangement fee estimated on the facility estimate ('2. Inputs' E29).</t>
  </si>
  <si>
    <t>(E) During construction</t>
  </si>
  <si>
    <t>(F) Post construction</t>
  </si>
  <si>
    <t>5. Delayed-sale scenarios sell at the average unit price (GDV ÷ units); Sensitivity Grid 2 uses a straight-line paydown approximation.</t>
  </si>
  <si>
    <t>(G) Sales &amp; marketing</t>
  </si>
  <si>
    <t>6. Scenario 3 mortgage is interest-only; rent net of void and management inputs.</t>
  </si>
  <si>
    <t>(H) Other</t>
  </si>
  <si>
    <t>(I) Finance costs</t>
  </si>
  <si>
    <t>TOTAL COSTS AFTER FINANCE</t>
  </si>
  <si>
    <t>FUNDING</t>
  </si>
  <si>
    <t>Bridge advance (day 1)</t>
  </si>
  <si>
    <t>Peak development loan</t>
  </si>
  <si>
    <t>LTGDV at peak</t>
  </si>
  <si>
    <t>LTC (peak debt ÷ costs after finance)</t>
  </si>
  <si>
    <t>1. Unit Import — Unit Schedule</t>
  </si>
  <si>
    <t>No</t>
  </si>
  <si>
    <t>Unit Name</t>
  </si>
  <si>
    <t>Floor</t>
  </si>
  <si>
    <t>Type</t>
  </si>
  <si>
    <t>Sqm</t>
  </si>
  <si>
    <t>Sqft</t>
  </si>
  <si>
    <t>Sale £psf</t>
  </si>
  <si>
    <t>Unit GDV</t>
  </si>
  <si>
    <t>Build months</t>
  </si>
  <si>
    <t>Monthly Rent £</t>
  </si>
  <si>
    <t>Notes</t>
  </si>
  <si>
    <t>Commercial Unit</t>
  </si>
  <si>
    <t>G</t>
  </si>
  <si>
    <t>Commercial</t>
  </si>
  <si>
    <t>Apartment 1</t>
  </si>
  <si>
    <t>2 bed</t>
  </si>
  <si>
    <t>Apartment 2</t>
  </si>
  <si>
    <t>Apartment 3</t>
  </si>
  <si>
    <t>Apartment 4</t>
  </si>
  <si>
    <t>Apartment 5</t>
  </si>
  <si>
    <t>Apartment 6</t>
  </si>
  <si>
    <t>Apartment 7</t>
  </si>
  <si>
    <t>new build</t>
  </si>
  <si>
    <t>Apartment 8</t>
  </si>
  <si>
    <t>Apartment 9</t>
  </si>
  <si>
    <t>Apartment 10</t>
  </si>
  <si>
    <t>Apartment 11</t>
  </si>
  <si>
    <t>TOTAL</t>
  </si>
  <si>
    <t>GDV TOTAL</t>
  </si>
  <si>
    <t>Full development build time (months) = MAX build months</t>
  </si>
  <si>
    <t>Total monthly rent</t>
  </si>
  <si>
    <t>Gross annual rent</t>
  </si>
  <si>
    <t>2. Inputs — Programme &amp; Finance Parameters</t>
  </si>
  <si>
    <t>BLUE/yellow cells = your inputs. Black = calculated. Green = linked from another sheet.</t>
  </si>
  <si>
    <t>(A) SITE &amp; PURCHASE</t>
  </si>
  <si>
    <t>Purchase price</t>
  </si>
  <si>
    <t>Purchase date (Month 1)</t>
  </si>
  <si>
    <t>GIA (gross internal area, sqft)</t>
  </si>
  <si>
    <t>used for build £psf metric</t>
  </si>
  <si>
    <t>(B) PROGRAMME / BUILD TIME</t>
  </si>
  <si>
    <t>Legal / purchase period (months)</t>
  </si>
  <si>
    <t>legals spread over these months</t>
  </si>
  <si>
    <t>Pre-construction period (months)</t>
  </si>
  <si>
    <t>bridge phase: purchase → start on site</t>
  </si>
  <si>
    <t>Construction period (months)</t>
  </si>
  <si>
    <t>equals longest unit build time on '1. Unit Import'</t>
  </si>
  <si>
    <t>Construction start month</t>
  </si>
  <si>
    <t>Practical completion (PC) month</t>
  </si>
  <si>
    <t>(C) BRIDGING LOAN — site purchase, interest rolled up</t>
  </si>
  <si>
    <t>LTV on purchase price</t>
  </si>
  <si>
    <t>Interest rate (pa)</t>
  </si>
  <si>
    <t>Arrangement fee (rolled)</t>
  </si>
  <si>
    <t>Exit fee</t>
  </si>
  <si>
    <t>cash received at purchase</t>
  </si>
  <si>
    <t>Est. redemption at dev-loan start</t>
  </si>
  <si>
    <t>principal + rolled fee &amp; interest + exit fee</t>
  </si>
  <si>
    <t>(D) DEVELOPMENT LOAN — rolled up, repaid at exit</t>
  </si>
  <si>
    <t>Max LTGDV covenant</t>
  </si>
  <si>
    <t>Est. facility required</t>
  </si>
  <si>
    <t>costs − equity − bridge advance + bridge redemption</t>
  </si>
  <si>
    <t>Arrangement fee £ (rolled at first draw)</t>
  </si>
  <si>
    <t>(E) SPV &amp; EQUITY — 50/50 with external investor</t>
  </si>
  <si>
    <t>Total equity injected</t>
  </si>
  <si>
    <t>Investor share</t>
  </si>
  <si>
    <t>Developer share</t>
  </si>
  <si>
    <t>Investor equity</t>
  </si>
  <si>
    <t>Developer equity</t>
  </si>
  <si>
    <t>(F) SALES ASSUMPTIONS</t>
  </si>
  <si>
    <t>Sales agent fee (% of price)</t>
  </si>
  <si>
    <t>Legal cost per unit sale</t>
  </si>
  <si>
    <t>Sales velocity (units per month)</t>
  </si>
  <si>
    <t>delayed-sale scenarios</t>
  </si>
  <si>
    <t>Price adjustment vs GDV</t>
  </si>
  <si>
    <t>0% = sell at GDV; scenario lever</t>
  </si>
  <si>
    <t>(G) REFINANCE / EXIT — exit bridge or commercial mortgage</t>
  </si>
  <si>
    <t>Refinance LTV (% of GDV)</t>
  </si>
  <si>
    <t>Refinance interest rate (pa)</t>
  </si>
  <si>
    <t>Arrangement fee</t>
  </si>
  <si>
    <t>Void / vacancy allowance</t>
  </si>
  <si>
    <t>Management &amp; opex (% of rent)</t>
  </si>
  <si>
    <t>3. Development Costs (structure per Richer Sounds appraisal)</t>
  </si>
  <si>
    <t>BLUE = input amounts. Column D = rate/% helpers (blue where input). Amounts in column F feed the monthly cashflow.</t>
  </si>
  <si>
    <t>(A) PURCHASE</t>
  </si>
  <si>
    <t>(B) LEGALS &amp; ACQUISITION</t>
  </si>
  <si>
    <t>B01</t>
  </si>
  <si>
    <t>Purchase legals (solicitor)</t>
  </si>
  <si>
    <t>B02</t>
  </si>
  <si>
    <t>Searches, title indemnity &amp; surveys</t>
  </si>
  <si>
    <t>B03</t>
  </si>
  <si>
    <t>Valuation report</t>
  </si>
  <si>
    <t>B04</t>
  </si>
  <si>
    <t>Stamp Duty (SDLT)</t>
  </si>
  <si>
    <t>enter from SDLT calculator (incl. any VAT on price)</t>
  </si>
  <si>
    <t>B05</t>
  </si>
  <si>
    <t>Sourcing fee</t>
  </si>
  <si>
    <t>B06</t>
  </si>
  <si>
    <t>Agent commission</t>
  </si>
  <si>
    <t>B07</t>
  </si>
  <si>
    <t>Legal contingency</t>
  </si>
  <si>
    <t>B08</t>
  </si>
  <si>
    <t>Other</t>
  </si>
  <si>
    <t>(C) PROFESSIONAL FEES (pre-construction)</t>
  </si>
  <si>
    <t>C01</t>
  </si>
  <si>
    <t>Architect fees</t>
  </si>
  <si>
    <t>C02</t>
  </si>
  <si>
    <t>Planning consultant</t>
  </si>
  <si>
    <t>C03</t>
  </si>
  <si>
    <t>Structural engineer</t>
  </si>
  <si>
    <t>C04</t>
  </si>
  <si>
    <t>Building control</t>
  </si>
  <si>
    <t>C05</t>
  </si>
  <si>
    <t>M&amp;E engineer</t>
  </si>
  <si>
    <t>C06</t>
  </si>
  <si>
    <t>Surveys (measured / asbestos / noise / drainage / roof)</t>
  </si>
  <si>
    <t>C07</t>
  </si>
  <si>
    <t>Fire engineer</t>
  </si>
  <si>
    <t>C08</t>
  </si>
  <si>
    <t>Principal designer role</t>
  </si>
  <si>
    <t>C09</t>
  </si>
  <si>
    <t>Party wall surveyor</t>
  </si>
  <si>
    <t>C10</t>
  </si>
  <si>
    <t>Building insurance (pre-construction)</t>
  </si>
  <si>
    <t>C11</t>
  </si>
  <si>
    <t>Planning conditions &amp; other reports</t>
  </si>
  <si>
    <t>C12</t>
  </si>
  <si>
    <t>(D) DEVELOPMENT / CONSTRUCTION COSTS</t>
  </si>
  <si>
    <t>D01</t>
  </si>
  <si>
    <t>Build cost (main contract)</t>
  </si>
  <si>
    <t>£psf shown in D</t>
  </si>
  <si>
    <t>D02</t>
  </si>
  <si>
    <t>Utilities (connections etc.)</t>
  </si>
  <si>
    <t>D03</t>
  </si>
  <si>
    <t>Employer's agent</t>
  </si>
  <si>
    <t>D04</t>
  </si>
  <si>
    <t>Project management</t>
  </si>
  <si>
    <t>D05</t>
  </si>
  <si>
    <t>Quantity surveyor</t>
  </si>
  <si>
    <t>D06</t>
  </si>
  <si>
    <t>Health &amp; safety consultant</t>
  </si>
  <si>
    <t>D07</t>
  </si>
  <si>
    <t>Interior designer</t>
  </si>
  <si>
    <t>D08</t>
  </si>
  <si>
    <t>Contingency (% of build)</t>
  </si>
  <si>
    <t>D09</t>
  </si>
  <si>
    <t>Demolition &amp; site clearance (% of build)</t>
  </si>
  <si>
    <t>D10</t>
  </si>
  <si>
    <t>10-yr structural warranty (per unit)</t>
  </si>
  <si>
    <t>D11</t>
  </si>
  <si>
    <t>Roof / basement warranties</t>
  </si>
  <si>
    <t>D12</t>
  </si>
  <si>
    <t>(E) DURING CONSTRUCTION (site running costs)</t>
  </si>
  <si>
    <t>E01</t>
  </si>
  <si>
    <t>Electricity supply</t>
  </si>
  <si>
    <t>E02</t>
  </si>
  <si>
    <t>Water supply</t>
  </si>
  <si>
    <t>E03</t>
  </si>
  <si>
    <t>Security</t>
  </si>
  <si>
    <t>E04</t>
  </si>
  <si>
    <t>Internet</t>
  </si>
  <si>
    <t>E05</t>
  </si>
  <si>
    <t>Building insurance during works</t>
  </si>
  <si>
    <t>E06</t>
  </si>
  <si>
    <t>(F) POST CONSTRUCTION (holding costs at PC)</t>
  </si>
  <si>
    <t>F01</t>
  </si>
  <si>
    <t>Council tax</t>
  </si>
  <si>
    <t>F02</t>
  </si>
  <si>
    <t>Utilities post-completion</t>
  </si>
  <si>
    <t>F03</t>
  </si>
  <si>
    <t>Buildings insurance</t>
  </si>
  <si>
    <t>F04</t>
  </si>
  <si>
    <t>(G) SALES &amp; MARKETING</t>
  </si>
  <si>
    <t>G01</t>
  </si>
  <si>
    <t>Show apartment</t>
  </si>
  <si>
    <t>G02</t>
  </si>
  <si>
    <t>Marketing materials &amp; brochure</t>
  </si>
  <si>
    <t>G03</t>
  </si>
  <si>
    <t>Sales agent fees (% of GDV)</t>
  </si>
  <si>
    <t>G04</t>
  </si>
  <si>
    <t>Sales legals (per unit)</t>
  </si>
  <si>
    <t>G05</t>
  </si>
  <si>
    <t>Photography &amp; video</t>
  </si>
  <si>
    <t>G06</t>
  </si>
  <si>
    <t>(H) OTHER / SPV RUNNING COSTS</t>
  </si>
  <si>
    <t>H01</t>
  </si>
  <si>
    <t>Admin fee</t>
  </si>
  <si>
    <t>H02</t>
  </si>
  <si>
    <t>Company set-up &amp; SPV shareholder legals</t>
  </si>
  <si>
    <t>H03</t>
  </si>
  <si>
    <t>Tax advisor</t>
  </si>
  <si>
    <t>H04</t>
  </si>
  <si>
    <t>Book keeper</t>
  </si>
  <si>
    <t>H05</t>
  </si>
  <si>
    <t>Bank charges</t>
  </si>
  <si>
    <t>H06</t>
  </si>
  <si>
    <t>Accountancy fees</t>
  </si>
  <si>
    <t>H07</t>
  </si>
  <si>
    <t>CIS submissions</t>
  </si>
  <si>
    <t>H08</t>
  </si>
  <si>
    <t>Contingency</t>
  </si>
  <si>
    <t>TOTAL PROJECT COSTS (pre-finance)</t>
  </si>
  <si>
    <t>4. Monthly Cashflow &amp; Finance Engine</t>
  </si>
  <si>
    <t>Costs spread evenly across phases. Bridge rolls up from purchase, redeemed by the development loan at construction start; dev loan rolls up to practical completion (PC). Repayment happens in the Scenarios sheet.</t>
  </si>
  <si>
    <t>Month</t>
  </si>
  <si>
    <t>Date</t>
  </si>
  <si>
    <t>PROJECT COSTS</t>
  </si>
  <si>
    <t>(A) Purchase</t>
  </si>
  <si>
    <t>TOTAL COSTS</t>
  </si>
  <si>
    <t>Cumulative costs</t>
  </si>
  <si>
    <t>Bridge advance</t>
  </si>
  <si>
    <t>Bridge interest (rolled)</t>
  </si>
  <si>
    <t>Bridge balance (c/f)</t>
  </si>
  <si>
    <t>Bridge redemption (by dev loan)</t>
  </si>
  <si>
    <t>Equity deployed (cumulative)</t>
  </si>
  <si>
    <t>Equity deployed (month)</t>
  </si>
  <si>
    <t>Dev loan drawdown</t>
  </si>
  <si>
    <t>Dev loan interest (rolled)</t>
  </si>
  <si>
    <t>Dev loan balance (c/f)</t>
  </si>
  <si>
    <t>Funding check (pre dev-loan)</t>
  </si>
  <si>
    <t>FINANCE SUMMARY</t>
  </si>
  <si>
    <t>Bridge arrangement fee</t>
  </si>
  <si>
    <t>Bridge interest (total)</t>
  </si>
  <si>
    <t>Bridge exit fee</t>
  </si>
  <si>
    <t>Bridge redemption (total)</t>
  </si>
  <si>
    <t>Dev loan arrangement fee</t>
  </si>
  <si>
    <t>Dev loan interest (total to PC)</t>
  </si>
  <si>
    <t>Dev loan balance at PC</t>
  </si>
  <si>
    <t>Dev loan exit fee</t>
  </si>
  <si>
    <t>Dev loan payoff at PC (balance + exit fee)</t>
  </si>
  <si>
    <t>Peak dev loan balance</t>
  </si>
  <si>
    <t>TOTAL FINANCE COSTS</t>
  </si>
  <si>
    <t>Equity used</t>
  </si>
  <si>
    <t>SCENARIO 1 — IMMEDIATE SALE AT PRACTICAL COMPLETION (all units at GDV)</t>
  </si>
  <si>
    <t>GDV (adjusted for price lever)</t>
  </si>
  <si>
    <t>Total costs pre-finance</t>
  </si>
  <si>
    <t>Total finance costs</t>
  </si>
  <si>
    <t>Total costs after finance</t>
  </si>
  <si>
    <t>NET PROFIT</t>
  </si>
  <si>
    <t>Profit on cost</t>
  </si>
  <si>
    <t>Dev loan payoff at PC</t>
  </si>
  <si>
    <t>Investor profit share</t>
  </si>
  <si>
    <t>Developer profit share</t>
  </si>
  <si>
    <t>Investor ROI (on investor equity)</t>
  </si>
  <si>
    <t>Project duration (months)</t>
  </si>
  <si>
    <t>Investor ROI per annum</t>
  </si>
  <si>
    <t>SCENARIO 2 — DELAYED SALES (dev loan keeps rolling until repaid from unit sales)</t>
  </si>
  <si>
    <t>Units sell at the velocity input at average unit price (GDV ÷ units). Net proceeds repay the loan; interest rolls on the outstanding balance.</t>
  </si>
  <si>
    <t>Month after PC</t>
  </si>
  <si>
    <t>Units sold</t>
  </si>
  <si>
    <t>Units remaining (c/f)</t>
  </si>
  <si>
    <t>Gross sale proceeds</t>
  </si>
  <si>
    <t>Net proceeds (after fees &amp; legals)</t>
  </si>
  <si>
    <t>Loan opening</t>
  </si>
  <si>
    <t>Interest (rolled)</t>
  </si>
  <si>
    <t>Repayment</t>
  </si>
  <si>
    <t>Loan closing</t>
  </si>
  <si>
    <t>Months to sell out</t>
  </si>
  <si>
    <t>Months until loan repaid</t>
  </si>
  <si>
    <t>Extra interest after PC</t>
  </si>
  <si>
    <t>NET PROFIT (Scenario 2)</t>
  </si>
  <si>
    <t>Total duration (months)</t>
  </si>
  <si>
    <t>SCENARIO 3 — REFINANCE AT PC &amp; RENT (exit bridge / commercial mortgage, hold as PRS)</t>
  </si>
  <si>
    <t>Mortgage advance (LTV × GDV)</t>
  </si>
  <si>
    <t>Dev loan payoff</t>
  </si>
  <si>
    <t>Surplus released / (equity gap)</t>
  </si>
  <si>
    <t>Net annual rent (after void &amp; mgmt)</t>
  </si>
  <si>
    <t>Annual mortgage interest (interest only)</t>
  </si>
  <si>
    <t>NET ANNUAL CASHFLOW</t>
  </si>
  <si>
    <t>Interest cover (net rent ÷ interest)</t>
  </si>
  <si>
    <t>Equity remaining in deal</t>
  </si>
  <si>
    <t>Cash-on-cash return</t>
  </si>
  <si>
    <t>Unrealised development profit (kept in asset)</t>
  </si>
  <si>
    <t>SCENARIO 4 — REFINANCE AT PC, THEN DELAYED SALES AT THE LOWER RATE</t>
  </si>
  <si>
    <t>Dev loan repaid by exit facility at PC (principal = payoff); units then sell down as Scenario 2 but interest accrues at the refinance rate.</t>
  </si>
  <si>
    <t>Refinance principal (= dev payoff)</t>
  </si>
  <si>
    <t>Net proceeds</t>
  </si>
  <si>
    <t>Interest (refi rate)</t>
  </si>
  <si>
    <t>Extra interest after PC (refi rate)</t>
  </si>
  <si>
    <t>NET PROFIT (Scenario 4)</t>
  </si>
  <si>
    <t>Benefit vs Scenario 2</t>
  </si>
  <si>
    <t>6. Sensitivity Analysis</t>
  </si>
  <si>
    <t>Fixed cost base (all costs after finance, excl. price-dependent selling costs)</t>
  </si>
  <si>
    <t>GRID 1 — Scenario 1 net profit vs sale price movement (exact)</t>
  </si>
  <si>
    <t>Price vs GDV</t>
  </si>
  <si>
    <t>GRID 2 — Scenario 2 net profit: price movement × sales velocity (approximation*)</t>
  </si>
  <si>
    <t>Price \ Units/mo</t>
  </si>
  <si>
    <t>*Approximate: assumes straight-line paydown of the dev loan; exact base case is in Scenario 2 on '5. Scenarios'.</t>
  </si>
  <si>
    <t>GRID 3 — Refinance &amp; rent: net annual cashflow by refi rate × LTV (exact)</t>
  </si>
  <si>
    <t>Rate \ LTV</t>
  </si>
  <si>
    <t>7. Example figures throughout are placeholders based on the Richer Sounds appraisal  DDC Tom emailed me.</t>
  </si>
  <si>
    <t>4. SDLT is a manual input on '3. Dev Costs' - Still need to import an SDLT calculator for the actual figure.</t>
  </si>
  <si>
    <t>Equity - investor (50%)</t>
  </si>
  <si>
    <t>Equity - developer (50%)</t>
  </si>
  <si>
    <t>5. Scenario Analysis Post Development Exit Options</t>
  </si>
  <si>
    <t>FUNDING bridge → equity → development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</si>
</sst>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£#,##0;&quot;(£&quot;#,##0\);\-"/>
    <numFmt numFmtId="166" formatCode="0.0%"/>
    <numFmt numFmtId="167" formatCode="0.00\x"/>
  </numFmts>
  <fonts count="12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808080"/>
      <name val="Arial"/>
      <charset val="1"/>
    </font>
    <font>
      <sz val="9"/>
      <color rgb="FF808080"/>
      <name val="Arial"/>
      <charset val="1"/>
    </font>
    <font>
      <b/>
      <sz val="10"/>
      <color rgb="FFFF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0" fontId="6" fillId="3" borderId="0" xfId="0" applyFont="1" applyFill="1"/>
    <xf numFmtId="165" fontId="5" fillId="0" borderId="0" xfId="0" applyNumberFormat="1" applyFont="1"/>
    <xf numFmtId="166" fontId="5" fillId="0" borderId="0" xfId="0" applyNumberFormat="1" applyFont="1"/>
    <xf numFmtId="0" fontId="7" fillId="0" borderId="0" xfId="0" applyFont="1"/>
    <xf numFmtId="0" fontId="6" fillId="0" borderId="0" xfId="0" applyFont="1"/>
    <xf numFmtId="165" fontId="6" fillId="3" borderId="0" xfId="0" applyNumberFormat="1" applyFont="1" applyFill="1"/>
    <xf numFmtId="164" fontId="2" fillId="0" borderId="0" xfId="0" applyNumberFormat="1" applyFont="1"/>
    <xf numFmtId="164" fontId="4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5" fontId="2" fillId="4" borderId="0" xfId="0" applyNumberFormat="1" applyFont="1" applyFill="1"/>
    <xf numFmtId="17" fontId="2" fillId="4" borderId="0" xfId="0" applyNumberFormat="1" applyFont="1" applyFill="1"/>
    <xf numFmtId="0" fontId="9" fillId="0" borderId="0" xfId="0" applyFont="1"/>
    <xf numFmtId="164" fontId="2" fillId="4" borderId="0" xfId="0" applyNumberFormat="1" applyFont="1" applyFill="1"/>
    <xf numFmtId="166" fontId="2" fillId="4" borderId="0" xfId="0" applyNumberFormat="1" applyFont="1" applyFill="1"/>
    <xf numFmtId="166" fontId="2" fillId="0" borderId="0" xfId="0" applyNumberFormat="1" applyFont="1"/>
    <xf numFmtId="166" fontId="4" fillId="0" borderId="0" xfId="0" applyNumberFormat="1" applyFont="1"/>
    <xf numFmtId="0" fontId="10" fillId="0" borderId="0" xfId="0" applyFont="1"/>
    <xf numFmtId="164" fontId="6" fillId="3" borderId="0" xfId="0" applyNumberFormat="1" applyFont="1" applyFill="1"/>
    <xf numFmtId="17" fontId="4" fillId="0" borderId="0" xfId="0" applyNumberFormat="1" applyFont="1"/>
    <xf numFmtId="0" fontId="11" fillId="0" borderId="0" xfId="0" applyFont="1"/>
    <xf numFmtId="167" fontId="4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showGridLines="0" zoomScaleNormal="100" workbookViewId="0">
      <selection activeCell="B27" sqref="B27"/>
    </sheetView>
  </sheetViews>
  <sheetFormatPr defaultColWidth="8.6328125" defaultRowHeight="14.5" x14ac:dyDescent="0.35"/>
  <cols>
    <col min="1" max="1" width="2" customWidth="1"/>
    <col min="2" max="2" width="34" customWidth="1"/>
    <col min="3" max="3" width="2" customWidth="1"/>
    <col min="4" max="4" width="15" customWidth="1"/>
    <col min="5" max="5" width="2" customWidth="1"/>
    <col min="6" max="6" width="34" customWidth="1"/>
    <col min="7" max="8" width="13" customWidth="1"/>
    <col min="9" max="9" width="12" customWidth="1"/>
    <col min="10" max="10" width="9" customWidth="1"/>
  </cols>
  <sheetData>
    <row r="2" spans="2:10" ht="18" x14ac:dyDescent="0.4">
      <c r="B2" s="4" t="s">
        <v>0</v>
      </c>
    </row>
    <row r="3" spans="2:10" x14ac:dyDescent="0.35">
      <c r="B3" s="5" t="s">
        <v>1</v>
      </c>
    </row>
    <row r="5" spans="2:10" x14ac:dyDescent="0.35">
      <c r="B5" s="3" t="s">
        <v>2</v>
      </c>
      <c r="C5" s="3"/>
      <c r="D5" s="3"/>
      <c r="F5" s="3" t="s">
        <v>3</v>
      </c>
      <c r="G5" s="3"/>
      <c r="H5" s="3"/>
      <c r="I5" s="3"/>
      <c r="J5" s="3"/>
    </row>
    <row r="6" spans="2:10" x14ac:dyDescent="0.35">
      <c r="B6" s="7" t="s">
        <v>4</v>
      </c>
      <c r="D6" s="8">
        <f>'1. Unit Import'!F40</f>
        <v>12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</row>
    <row r="7" spans="2:10" x14ac:dyDescent="0.35">
      <c r="B7" s="7" t="s">
        <v>10</v>
      </c>
      <c r="D7" s="8">
        <f>'1. Unit Import'!F41</f>
        <v>10344.107899999999</v>
      </c>
      <c r="F7" s="7" t="s">
        <v>11</v>
      </c>
      <c r="G7" s="10">
        <f>'5. Scenarios'!F9</f>
        <v>775845.16212795302</v>
      </c>
      <c r="H7" s="11">
        <f>'5. Scenarios'!F11</f>
        <v>0.12417041738640658</v>
      </c>
      <c r="I7" s="11">
        <f>'5. Scenarios'!F15</f>
        <v>0.55417511580568068</v>
      </c>
      <c r="J7" s="8">
        <f>'5. Scenarios'!F16</f>
        <v>15</v>
      </c>
    </row>
    <row r="8" spans="2:10" x14ac:dyDescent="0.35">
      <c r="B8" s="7" t="s">
        <v>12</v>
      </c>
      <c r="D8" s="10">
        <f>'1. Unit Import'!F42</f>
        <v>6248228.6720000012</v>
      </c>
      <c r="F8" s="7" t="s">
        <v>13</v>
      </c>
      <c r="G8" s="10">
        <f>'5. Scenarios'!F36</f>
        <v>702623.95637284126</v>
      </c>
      <c r="H8" s="11">
        <f>IF('5. Scenarios'!F5=0,0,'5. Scenarios'!F36/'5. Scenarios'!F5)</f>
        <v>0.11245170323574885</v>
      </c>
      <c r="I8" s="11">
        <f>'5. Scenarios'!F38</f>
        <v>0.5018742545520295</v>
      </c>
      <c r="J8" s="8">
        <f>'5. Scenarios'!F39</f>
        <v>21</v>
      </c>
    </row>
    <row r="9" spans="2:10" x14ac:dyDescent="0.35">
      <c r="B9" s="7" t="s">
        <v>14</v>
      </c>
      <c r="D9" s="10">
        <f>'1. Unit Import'!F43</f>
        <v>604.03746097814792</v>
      </c>
      <c r="F9" s="7" t="s">
        <v>15</v>
      </c>
      <c r="G9" s="10">
        <f>'5. Scenarios'!F50</f>
        <v>-29574.175024000055</v>
      </c>
      <c r="H9" s="11">
        <f>IF('5. Scenarios'!F5=0,0,'5. Scenarios'!F54/'5. Scenarios'!F5)</f>
        <v>0.12417041738640658</v>
      </c>
      <c r="I9" s="11">
        <f>'5. Scenarios'!F53</f>
        <v>-2.0372822957901358E-2</v>
      </c>
      <c r="J9" s="8" t="s">
        <v>16</v>
      </c>
    </row>
    <row r="10" spans="2:10" x14ac:dyDescent="0.35">
      <c r="B10" s="7" t="s">
        <v>17</v>
      </c>
      <c r="D10" s="8">
        <f>'2. Inputs'!E14</f>
        <v>15</v>
      </c>
      <c r="F10" s="7" t="s">
        <v>18</v>
      </c>
      <c r="G10" s="10">
        <f>'5. Scenarios'!F72</f>
        <v>687155.0986635728</v>
      </c>
      <c r="H10" s="11">
        <f>IF('5. Scenarios'!F5=0,0,'5. Scenarios'!F72/'5. Scenarios'!F5)</f>
        <v>0.10997598435263745</v>
      </c>
      <c r="I10" s="11">
        <f>'5. Scenarios'!F75</f>
        <v>0.49082507047398055</v>
      </c>
      <c r="J10" s="8">
        <f>'5. Scenarios'!F39</f>
        <v>21</v>
      </c>
    </row>
    <row r="11" spans="2:10" x14ac:dyDescent="0.35">
      <c r="F11" s="12" t="s">
        <v>19</v>
      </c>
    </row>
    <row r="12" spans="2:10" x14ac:dyDescent="0.35">
      <c r="B12" s="3" t="s">
        <v>20</v>
      </c>
      <c r="C12" s="3"/>
      <c r="D12" s="3"/>
    </row>
    <row r="13" spans="2:10" x14ac:dyDescent="0.35">
      <c r="B13" s="7" t="s">
        <v>21</v>
      </c>
      <c r="D13" s="10">
        <f>'3. Dev Costs'!F8</f>
        <v>1950000</v>
      </c>
      <c r="F13" s="3" t="s">
        <v>22</v>
      </c>
      <c r="G13" s="3"/>
      <c r="H13" s="3"/>
      <c r="I13" s="3"/>
      <c r="J13" s="3"/>
    </row>
    <row r="14" spans="2:10" ht="24" customHeight="1" x14ac:dyDescent="0.35">
      <c r="B14" s="7" t="s">
        <v>23</v>
      </c>
      <c r="D14" s="10">
        <f>'3. Dev Costs'!F19</f>
        <v>131250</v>
      </c>
      <c r="F14" s="2" t="s">
        <v>24</v>
      </c>
      <c r="G14" s="2"/>
      <c r="H14" s="2"/>
      <c r="I14" s="2"/>
      <c r="J14" s="2"/>
    </row>
    <row r="15" spans="2:10" ht="24" customHeight="1" x14ac:dyDescent="0.35">
      <c r="B15" s="7" t="s">
        <v>25</v>
      </c>
      <c r="D15" s="10">
        <f>'3. Dev Costs'!F34</f>
        <v>150300</v>
      </c>
      <c r="F15" s="2" t="s">
        <v>26</v>
      </c>
      <c r="G15" s="2"/>
      <c r="H15" s="2"/>
      <c r="I15" s="2"/>
      <c r="J15" s="2"/>
    </row>
    <row r="16" spans="2:10" ht="24" customHeight="1" x14ac:dyDescent="0.35">
      <c r="B16" s="7" t="s">
        <v>27</v>
      </c>
      <c r="D16" s="10">
        <f>'3. Dev Costs'!F49</f>
        <v>2668180.4350000001</v>
      </c>
      <c r="F16" s="2" t="s">
        <v>28</v>
      </c>
      <c r="G16" s="2"/>
      <c r="H16" s="2"/>
      <c r="I16" s="2"/>
      <c r="J16" s="2"/>
    </row>
    <row r="17" spans="2:10" ht="24" customHeight="1" x14ac:dyDescent="0.35">
      <c r="B17" s="7" t="s">
        <v>29</v>
      </c>
      <c r="D17" s="10">
        <f>'3. Dev Costs'!F58</f>
        <v>38400</v>
      </c>
      <c r="F17" s="2" t="s">
        <v>332</v>
      </c>
      <c r="G17" s="2"/>
      <c r="H17" s="2"/>
      <c r="I17" s="2"/>
      <c r="J17" s="2"/>
    </row>
    <row r="18" spans="2:10" ht="24" customHeight="1" x14ac:dyDescent="0.35">
      <c r="B18" s="7" t="s">
        <v>30</v>
      </c>
      <c r="D18" s="10">
        <f>'3. Dev Costs'!F65</f>
        <v>13550</v>
      </c>
      <c r="F18" s="2" t="s">
        <v>31</v>
      </c>
      <c r="G18" s="2"/>
      <c r="H18" s="2"/>
      <c r="I18" s="2"/>
      <c r="J18" s="2"/>
    </row>
    <row r="19" spans="2:10" ht="24" customHeight="1" x14ac:dyDescent="0.35">
      <c r="B19" s="7" t="s">
        <v>32</v>
      </c>
      <c r="D19" s="10">
        <f>'3. Dev Costs'!F74</f>
        <v>143723.43008000002</v>
      </c>
      <c r="F19" s="2" t="s">
        <v>33</v>
      </c>
      <c r="G19" s="2"/>
      <c r="H19" s="2"/>
      <c r="I19" s="2"/>
      <c r="J19" s="2"/>
    </row>
    <row r="20" spans="2:10" ht="24" customHeight="1" x14ac:dyDescent="0.35">
      <c r="B20" s="7" t="s">
        <v>34</v>
      </c>
      <c r="D20" s="10">
        <f>'3. Dev Costs'!F85</f>
        <v>20660</v>
      </c>
      <c r="F20" s="2" t="s">
        <v>331</v>
      </c>
      <c r="G20" s="2"/>
      <c r="H20" s="2"/>
      <c r="I20" s="2"/>
      <c r="J20" s="2"/>
    </row>
    <row r="21" spans="2:10" x14ac:dyDescent="0.35">
      <c r="B21" s="7" t="s">
        <v>35</v>
      </c>
      <c r="D21" s="10">
        <f>'4. Cashflow'!C43</f>
        <v>356319.6447920471</v>
      </c>
    </row>
    <row r="22" spans="2:10" x14ac:dyDescent="0.35">
      <c r="B22" s="13" t="s">
        <v>36</v>
      </c>
      <c r="D22" s="14">
        <f>'4. Cashflow'!C44</f>
        <v>5472383.5098720482</v>
      </c>
    </row>
    <row r="24" spans="2:10" x14ac:dyDescent="0.35">
      <c r="B24" s="3" t="s">
        <v>37</v>
      </c>
      <c r="C24" s="3"/>
      <c r="D24" s="3"/>
    </row>
    <row r="25" spans="2:10" x14ac:dyDescent="0.35">
      <c r="B25" s="7" t="s">
        <v>333</v>
      </c>
      <c r="D25" s="10">
        <f>'2. Inputs'!E36</f>
        <v>700000</v>
      </c>
    </row>
    <row r="26" spans="2:10" x14ac:dyDescent="0.35">
      <c r="B26" s="7" t="s">
        <v>334</v>
      </c>
      <c r="D26" s="10">
        <f>'2. Inputs'!E37</f>
        <v>700000</v>
      </c>
    </row>
    <row r="27" spans="2:10" x14ac:dyDescent="0.35">
      <c r="B27" s="7" t="s">
        <v>38</v>
      </c>
      <c r="D27" s="10">
        <f>'2. Inputs'!E21</f>
        <v>1267500</v>
      </c>
    </row>
    <row r="28" spans="2:10" x14ac:dyDescent="0.35">
      <c r="B28" s="7" t="s">
        <v>39</v>
      </c>
      <c r="D28" s="10">
        <f>'4. Cashflow'!C41</f>
        <v>4032062.8810614347</v>
      </c>
    </row>
    <row r="29" spans="2:10" x14ac:dyDescent="0.35">
      <c r="B29" s="7" t="s">
        <v>40</v>
      </c>
      <c r="D29" s="11">
        <f>'4. Cashflow'!C42</f>
        <v>0.64531295071356731</v>
      </c>
    </row>
    <row r="30" spans="2:10" x14ac:dyDescent="0.35">
      <c r="B30" s="7" t="s">
        <v>41</v>
      </c>
      <c r="D30" s="11">
        <f>IF('4. Cashflow'!C44=0,0,'4. Cashflow'!C41/'4. Cashflow'!C44)</f>
        <v>0.73680195728016695</v>
      </c>
    </row>
  </sheetData>
  <mergeCells count="12">
    <mergeCell ref="F20:J20"/>
    <mergeCell ref="B24:D24"/>
    <mergeCell ref="F15:J15"/>
    <mergeCell ref="F16:J16"/>
    <mergeCell ref="F17:J17"/>
    <mergeCell ref="F18:J18"/>
    <mergeCell ref="F19:J19"/>
    <mergeCell ref="B5:D5"/>
    <mergeCell ref="F5:J5"/>
    <mergeCell ref="B12:D12"/>
    <mergeCell ref="F13:J13"/>
    <mergeCell ref="F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6"/>
  <sheetViews>
    <sheetView showGridLines="0" zoomScaleNormal="100" workbookViewId="0">
      <selection activeCell="H3" sqref="H3"/>
    </sheetView>
  </sheetViews>
  <sheetFormatPr defaultColWidth="8.6328125" defaultRowHeight="14.5" x14ac:dyDescent="0.35"/>
  <cols>
    <col min="1" max="1" width="2" customWidth="1"/>
    <col min="2" max="2" width="5" customWidth="1"/>
    <col min="3" max="3" width="18" customWidth="1"/>
    <col min="4" max="4" width="7" customWidth="1"/>
    <col min="5" max="5" width="12" customWidth="1"/>
    <col min="6" max="7" width="9" customWidth="1"/>
    <col min="8" max="8" width="10" customWidth="1"/>
    <col min="9" max="10" width="12" customWidth="1"/>
    <col min="11" max="11" width="14" customWidth="1"/>
    <col min="12" max="12" width="16" customWidth="1"/>
  </cols>
  <sheetData>
    <row r="2" spans="2:12" ht="18" x14ac:dyDescent="0.4">
      <c r="B2" s="4" t="s">
        <v>42</v>
      </c>
    </row>
    <row r="4" spans="2:12" ht="27.75" customHeight="1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2:12" x14ac:dyDescent="0.35"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51</v>
      </c>
      <c r="K6" s="6" t="s">
        <v>52</v>
      </c>
      <c r="L6" s="6" t="s">
        <v>53</v>
      </c>
    </row>
    <row r="7" spans="2:12" x14ac:dyDescent="0.35">
      <c r="B7" s="15">
        <v>1</v>
      </c>
      <c r="C7" s="5" t="s">
        <v>54</v>
      </c>
      <c r="D7" s="5" t="s">
        <v>55</v>
      </c>
      <c r="E7" s="5" t="s">
        <v>56</v>
      </c>
      <c r="F7" s="15">
        <v>64</v>
      </c>
      <c r="G7" s="16">
        <f t="shared" ref="G7:G36" si="0">IF(F7="","",F7*10.7639)</f>
        <v>688.88959999999997</v>
      </c>
      <c r="H7" s="17">
        <v>254</v>
      </c>
      <c r="I7" s="18">
        <f t="shared" ref="I7:I36" si="1">IF(OR(F7="",H7=""),"",G7*H7)</f>
        <v>174977.9584</v>
      </c>
      <c r="J7" s="15">
        <v>6</v>
      </c>
      <c r="K7" s="17">
        <v>1200</v>
      </c>
    </row>
    <row r="8" spans="2:12" x14ac:dyDescent="0.35">
      <c r="B8" s="15">
        <v>2</v>
      </c>
      <c r="C8" s="5" t="s">
        <v>57</v>
      </c>
      <c r="D8" s="5">
        <v>1</v>
      </c>
      <c r="E8" s="5" t="s">
        <v>58</v>
      </c>
      <c r="F8" s="15">
        <v>76</v>
      </c>
      <c r="G8" s="16">
        <f t="shared" si="0"/>
        <v>818.05639999999994</v>
      </c>
      <c r="H8" s="17">
        <v>611</v>
      </c>
      <c r="I8" s="18">
        <f t="shared" si="1"/>
        <v>499832.46039999998</v>
      </c>
      <c r="J8" s="15">
        <v>10</v>
      </c>
      <c r="K8" s="17">
        <v>1650</v>
      </c>
    </row>
    <row r="9" spans="2:12" x14ac:dyDescent="0.35">
      <c r="B9" s="15">
        <v>3</v>
      </c>
      <c r="C9" s="5" t="s">
        <v>59</v>
      </c>
      <c r="D9" s="5">
        <v>1</v>
      </c>
      <c r="E9" s="5" t="s">
        <v>58</v>
      </c>
      <c r="F9" s="15">
        <v>70</v>
      </c>
      <c r="G9" s="16">
        <f t="shared" si="0"/>
        <v>753.47299999999996</v>
      </c>
      <c r="H9" s="17">
        <v>617</v>
      </c>
      <c r="I9" s="18">
        <f t="shared" si="1"/>
        <v>464892.84099999996</v>
      </c>
      <c r="J9" s="15">
        <v>10</v>
      </c>
      <c r="K9" s="17">
        <v>1550</v>
      </c>
    </row>
    <row r="10" spans="2:12" x14ac:dyDescent="0.35">
      <c r="B10" s="15">
        <v>4</v>
      </c>
      <c r="C10" s="5" t="s">
        <v>60</v>
      </c>
      <c r="D10" s="5">
        <v>1</v>
      </c>
      <c r="E10" s="5" t="s">
        <v>58</v>
      </c>
      <c r="F10" s="15">
        <v>93</v>
      </c>
      <c r="G10" s="16">
        <f t="shared" si="0"/>
        <v>1001.0427</v>
      </c>
      <c r="H10" s="17">
        <v>574</v>
      </c>
      <c r="I10" s="18">
        <f t="shared" si="1"/>
        <v>574598.5098</v>
      </c>
      <c r="J10" s="15">
        <v>10</v>
      </c>
      <c r="K10" s="17">
        <v>1850</v>
      </c>
    </row>
    <row r="11" spans="2:12" x14ac:dyDescent="0.35">
      <c r="B11" s="15">
        <v>5</v>
      </c>
      <c r="C11" s="5" t="s">
        <v>61</v>
      </c>
      <c r="D11" s="5">
        <v>2</v>
      </c>
      <c r="E11" s="5" t="s">
        <v>58</v>
      </c>
      <c r="F11" s="15">
        <v>76</v>
      </c>
      <c r="G11" s="16">
        <f t="shared" si="0"/>
        <v>818.05639999999994</v>
      </c>
      <c r="H11" s="17">
        <v>617</v>
      </c>
      <c r="I11" s="18">
        <f t="shared" si="1"/>
        <v>504740.79879999999</v>
      </c>
      <c r="J11" s="15">
        <v>11</v>
      </c>
      <c r="K11" s="17">
        <v>1650</v>
      </c>
    </row>
    <row r="12" spans="2:12" x14ac:dyDescent="0.35">
      <c r="B12" s="15">
        <v>6</v>
      </c>
      <c r="C12" s="5" t="s">
        <v>62</v>
      </c>
      <c r="D12" s="5">
        <v>2</v>
      </c>
      <c r="E12" s="5" t="s">
        <v>58</v>
      </c>
      <c r="F12" s="15">
        <v>70</v>
      </c>
      <c r="G12" s="16">
        <f t="shared" si="0"/>
        <v>753.47299999999996</v>
      </c>
      <c r="H12" s="17">
        <v>630</v>
      </c>
      <c r="I12" s="18">
        <f t="shared" si="1"/>
        <v>474687.99</v>
      </c>
      <c r="J12" s="15">
        <v>11</v>
      </c>
      <c r="K12" s="17">
        <v>1550</v>
      </c>
    </row>
    <row r="13" spans="2:12" x14ac:dyDescent="0.35">
      <c r="B13" s="15">
        <v>7</v>
      </c>
      <c r="C13" s="5" t="s">
        <v>63</v>
      </c>
      <c r="D13" s="5">
        <v>2</v>
      </c>
      <c r="E13" s="5" t="s">
        <v>58</v>
      </c>
      <c r="F13" s="15">
        <v>93</v>
      </c>
      <c r="G13" s="16">
        <f t="shared" si="0"/>
        <v>1001.0427</v>
      </c>
      <c r="H13" s="17">
        <v>584</v>
      </c>
      <c r="I13" s="18">
        <f t="shared" si="1"/>
        <v>584608.93680000002</v>
      </c>
      <c r="J13" s="15">
        <v>11</v>
      </c>
      <c r="K13" s="17">
        <v>1850</v>
      </c>
    </row>
    <row r="14" spans="2:12" x14ac:dyDescent="0.35">
      <c r="B14" s="15">
        <v>8</v>
      </c>
      <c r="C14" s="5" t="s">
        <v>64</v>
      </c>
      <c r="D14" s="5">
        <v>3</v>
      </c>
      <c r="E14" s="5" t="s">
        <v>58</v>
      </c>
      <c r="F14" s="15">
        <v>76</v>
      </c>
      <c r="G14" s="16">
        <f t="shared" si="0"/>
        <v>818.05639999999994</v>
      </c>
      <c r="H14" s="17">
        <v>630</v>
      </c>
      <c r="I14" s="18">
        <f t="shared" si="1"/>
        <v>515375.53199999995</v>
      </c>
      <c r="J14" s="15">
        <v>12</v>
      </c>
      <c r="K14" s="17">
        <v>1650</v>
      </c>
      <c r="L14" s="5" t="s">
        <v>65</v>
      </c>
    </row>
    <row r="15" spans="2:12" x14ac:dyDescent="0.35">
      <c r="B15" s="15">
        <v>9</v>
      </c>
      <c r="C15" s="5" t="s">
        <v>66</v>
      </c>
      <c r="D15" s="5">
        <v>3</v>
      </c>
      <c r="E15" s="5" t="s">
        <v>58</v>
      </c>
      <c r="F15" s="15">
        <v>70</v>
      </c>
      <c r="G15" s="16">
        <f t="shared" si="0"/>
        <v>753.47299999999996</v>
      </c>
      <c r="H15" s="17">
        <v>644</v>
      </c>
      <c r="I15" s="18">
        <f t="shared" si="1"/>
        <v>485236.61199999996</v>
      </c>
      <c r="J15" s="15">
        <v>12</v>
      </c>
      <c r="K15" s="17">
        <v>1550</v>
      </c>
      <c r="L15" s="5" t="s">
        <v>65</v>
      </c>
    </row>
    <row r="16" spans="2:12" x14ac:dyDescent="0.35">
      <c r="B16" s="15">
        <v>10</v>
      </c>
      <c r="C16" s="5" t="s">
        <v>67</v>
      </c>
      <c r="D16" s="5">
        <v>3</v>
      </c>
      <c r="E16" s="5" t="s">
        <v>58</v>
      </c>
      <c r="F16" s="15">
        <v>93</v>
      </c>
      <c r="G16" s="16">
        <f t="shared" si="0"/>
        <v>1001.0427</v>
      </c>
      <c r="H16" s="17">
        <v>594</v>
      </c>
      <c r="I16" s="18">
        <f t="shared" si="1"/>
        <v>594619.36379999993</v>
      </c>
      <c r="J16" s="15">
        <v>12</v>
      </c>
      <c r="K16" s="17">
        <v>1850</v>
      </c>
      <c r="L16" s="5" t="s">
        <v>65</v>
      </c>
    </row>
    <row r="17" spans="2:12" x14ac:dyDescent="0.35">
      <c r="B17" s="15">
        <v>11</v>
      </c>
      <c r="C17" s="5" t="s">
        <v>68</v>
      </c>
      <c r="D17" s="5">
        <v>4</v>
      </c>
      <c r="E17" s="5" t="s">
        <v>58</v>
      </c>
      <c r="F17" s="15">
        <v>87</v>
      </c>
      <c r="G17" s="16">
        <f t="shared" si="0"/>
        <v>936.45929999999998</v>
      </c>
      <c r="H17" s="17">
        <v>694</v>
      </c>
      <c r="I17" s="18">
        <f t="shared" si="1"/>
        <v>649902.75419999997</v>
      </c>
      <c r="J17" s="15">
        <v>12</v>
      </c>
      <c r="K17" s="17">
        <v>1800</v>
      </c>
      <c r="L17" s="5" t="s">
        <v>65</v>
      </c>
    </row>
    <row r="18" spans="2:12" x14ac:dyDescent="0.35">
      <c r="B18" s="15">
        <v>12</v>
      </c>
      <c r="C18" s="5" t="s">
        <v>69</v>
      </c>
      <c r="D18" s="5">
        <v>4</v>
      </c>
      <c r="E18" s="5" t="s">
        <v>58</v>
      </c>
      <c r="F18" s="15">
        <v>93</v>
      </c>
      <c r="G18" s="16">
        <f t="shared" si="0"/>
        <v>1001.0427</v>
      </c>
      <c r="H18" s="17">
        <v>724</v>
      </c>
      <c r="I18" s="18">
        <f t="shared" si="1"/>
        <v>724754.91480000003</v>
      </c>
      <c r="J18" s="15">
        <v>12</v>
      </c>
      <c r="K18" s="17">
        <v>1850</v>
      </c>
      <c r="L18" s="5" t="s">
        <v>65</v>
      </c>
    </row>
    <row r="19" spans="2:12" x14ac:dyDescent="0.35">
      <c r="B19" s="15"/>
      <c r="C19" s="5"/>
      <c r="D19" s="5"/>
      <c r="E19" s="5"/>
      <c r="F19" s="15"/>
      <c r="G19" s="16" t="str">
        <f t="shared" si="0"/>
        <v/>
      </c>
      <c r="H19" s="17"/>
      <c r="I19" s="18" t="str">
        <f t="shared" si="1"/>
        <v/>
      </c>
      <c r="J19" s="15"/>
      <c r="K19" s="17"/>
    </row>
    <row r="20" spans="2:12" x14ac:dyDescent="0.35">
      <c r="B20" s="15"/>
      <c r="C20" s="5"/>
      <c r="D20" s="5"/>
      <c r="E20" s="5"/>
      <c r="F20" s="15"/>
      <c r="G20" s="16" t="str">
        <f t="shared" si="0"/>
        <v/>
      </c>
      <c r="H20" s="17"/>
      <c r="I20" s="18" t="str">
        <f t="shared" si="1"/>
        <v/>
      </c>
      <c r="J20" s="15"/>
      <c r="K20" s="17"/>
    </row>
    <row r="21" spans="2:12" x14ac:dyDescent="0.35">
      <c r="B21" s="15"/>
      <c r="C21" s="5"/>
      <c r="D21" s="5"/>
      <c r="E21" s="5"/>
      <c r="F21" s="15"/>
      <c r="G21" s="16" t="str">
        <f t="shared" si="0"/>
        <v/>
      </c>
      <c r="H21" s="17"/>
      <c r="I21" s="18" t="str">
        <f t="shared" si="1"/>
        <v/>
      </c>
      <c r="J21" s="15"/>
      <c r="K21" s="17"/>
    </row>
    <row r="22" spans="2:12" x14ac:dyDescent="0.35">
      <c r="B22" s="15"/>
      <c r="C22" s="5"/>
      <c r="D22" s="5"/>
      <c r="E22" s="5"/>
      <c r="F22" s="15"/>
      <c r="G22" s="16" t="str">
        <f t="shared" si="0"/>
        <v/>
      </c>
      <c r="H22" s="17"/>
      <c r="I22" s="18" t="str">
        <f t="shared" si="1"/>
        <v/>
      </c>
      <c r="J22" s="15"/>
      <c r="K22" s="17"/>
    </row>
    <row r="23" spans="2:12" x14ac:dyDescent="0.35">
      <c r="B23" s="15"/>
      <c r="C23" s="5"/>
      <c r="D23" s="5"/>
      <c r="E23" s="5"/>
      <c r="F23" s="15"/>
      <c r="G23" s="16" t="str">
        <f t="shared" si="0"/>
        <v/>
      </c>
      <c r="H23" s="17"/>
      <c r="I23" s="18" t="str">
        <f t="shared" si="1"/>
        <v/>
      </c>
      <c r="J23" s="15"/>
      <c r="K23" s="17"/>
    </row>
    <row r="24" spans="2:12" x14ac:dyDescent="0.35">
      <c r="B24" s="15"/>
      <c r="C24" s="5"/>
      <c r="D24" s="5"/>
      <c r="E24" s="5"/>
      <c r="F24" s="15"/>
      <c r="G24" s="16" t="str">
        <f t="shared" si="0"/>
        <v/>
      </c>
      <c r="H24" s="17"/>
      <c r="I24" s="18" t="str">
        <f t="shared" si="1"/>
        <v/>
      </c>
      <c r="J24" s="15"/>
      <c r="K24" s="17"/>
    </row>
    <row r="25" spans="2:12" x14ac:dyDescent="0.35">
      <c r="B25" s="15"/>
      <c r="C25" s="5"/>
      <c r="D25" s="5"/>
      <c r="E25" s="5"/>
      <c r="F25" s="15"/>
      <c r="G25" s="16" t="str">
        <f t="shared" si="0"/>
        <v/>
      </c>
      <c r="H25" s="17"/>
      <c r="I25" s="18" t="str">
        <f t="shared" si="1"/>
        <v/>
      </c>
      <c r="J25" s="15"/>
      <c r="K25" s="17"/>
    </row>
    <row r="26" spans="2:12" x14ac:dyDescent="0.35">
      <c r="B26" s="15"/>
      <c r="C26" s="5"/>
      <c r="D26" s="5"/>
      <c r="E26" s="5"/>
      <c r="F26" s="15"/>
      <c r="G26" s="16" t="str">
        <f t="shared" si="0"/>
        <v/>
      </c>
      <c r="H26" s="17"/>
      <c r="I26" s="18" t="str">
        <f t="shared" si="1"/>
        <v/>
      </c>
      <c r="J26" s="15"/>
      <c r="K26" s="17"/>
    </row>
    <row r="27" spans="2:12" x14ac:dyDescent="0.35">
      <c r="B27" s="15"/>
      <c r="C27" s="5"/>
      <c r="D27" s="5"/>
      <c r="E27" s="5"/>
      <c r="F27" s="15"/>
      <c r="G27" s="16" t="str">
        <f t="shared" si="0"/>
        <v/>
      </c>
      <c r="H27" s="17"/>
      <c r="I27" s="18" t="str">
        <f t="shared" si="1"/>
        <v/>
      </c>
      <c r="J27" s="15"/>
      <c r="K27" s="17"/>
    </row>
    <row r="28" spans="2:12" x14ac:dyDescent="0.35">
      <c r="B28" s="15"/>
      <c r="C28" s="5"/>
      <c r="D28" s="5"/>
      <c r="E28" s="5"/>
      <c r="F28" s="15"/>
      <c r="G28" s="16" t="str">
        <f t="shared" si="0"/>
        <v/>
      </c>
      <c r="H28" s="17"/>
      <c r="I28" s="18" t="str">
        <f t="shared" si="1"/>
        <v/>
      </c>
      <c r="J28" s="15"/>
      <c r="K28" s="17"/>
    </row>
    <row r="29" spans="2:12" x14ac:dyDescent="0.35">
      <c r="B29" s="15"/>
      <c r="C29" s="5"/>
      <c r="D29" s="5"/>
      <c r="E29" s="5"/>
      <c r="F29" s="15"/>
      <c r="G29" s="16" t="str">
        <f t="shared" si="0"/>
        <v/>
      </c>
      <c r="H29" s="17"/>
      <c r="I29" s="18" t="str">
        <f t="shared" si="1"/>
        <v/>
      </c>
      <c r="J29" s="15"/>
      <c r="K29" s="17"/>
    </row>
    <row r="30" spans="2:12" x14ac:dyDescent="0.35">
      <c r="B30" s="15"/>
      <c r="C30" s="5"/>
      <c r="D30" s="5"/>
      <c r="E30" s="5"/>
      <c r="F30" s="15"/>
      <c r="G30" s="16" t="str">
        <f t="shared" si="0"/>
        <v/>
      </c>
      <c r="H30" s="17"/>
      <c r="I30" s="18" t="str">
        <f t="shared" si="1"/>
        <v/>
      </c>
      <c r="J30" s="15"/>
      <c r="K30" s="17"/>
    </row>
    <row r="31" spans="2:12" x14ac:dyDescent="0.35">
      <c r="B31" s="15"/>
      <c r="C31" s="5"/>
      <c r="D31" s="5"/>
      <c r="E31" s="5"/>
      <c r="F31" s="15"/>
      <c r="G31" s="16" t="str">
        <f t="shared" si="0"/>
        <v/>
      </c>
      <c r="H31" s="17"/>
      <c r="I31" s="18" t="str">
        <f t="shared" si="1"/>
        <v/>
      </c>
      <c r="J31" s="15"/>
      <c r="K31" s="17"/>
    </row>
    <row r="32" spans="2:12" x14ac:dyDescent="0.35">
      <c r="B32" s="15"/>
      <c r="C32" s="5"/>
      <c r="D32" s="5"/>
      <c r="E32" s="5"/>
      <c r="F32" s="15"/>
      <c r="G32" s="16" t="str">
        <f t="shared" si="0"/>
        <v/>
      </c>
      <c r="H32" s="17"/>
      <c r="I32" s="18" t="str">
        <f t="shared" si="1"/>
        <v/>
      </c>
      <c r="J32" s="15"/>
      <c r="K32" s="17"/>
    </row>
    <row r="33" spans="2:11" x14ac:dyDescent="0.35">
      <c r="B33" s="15"/>
      <c r="C33" s="5"/>
      <c r="D33" s="5"/>
      <c r="E33" s="5"/>
      <c r="F33" s="15"/>
      <c r="G33" s="16" t="str">
        <f t="shared" si="0"/>
        <v/>
      </c>
      <c r="H33" s="17"/>
      <c r="I33" s="18" t="str">
        <f t="shared" si="1"/>
        <v/>
      </c>
      <c r="J33" s="15"/>
      <c r="K33" s="17"/>
    </row>
    <row r="34" spans="2:11" x14ac:dyDescent="0.35">
      <c r="B34" s="15"/>
      <c r="C34" s="5"/>
      <c r="D34" s="5"/>
      <c r="E34" s="5"/>
      <c r="F34" s="15"/>
      <c r="G34" s="16" t="str">
        <f t="shared" si="0"/>
        <v/>
      </c>
      <c r="H34" s="17"/>
      <c r="I34" s="18" t="str">
        <f t="shared" si="1"/>
        <v/>
      </c>
      <c r="J34" s="15"/>
      <c r="K34" s="17"/>
    </row>
    <row r="35" spans="2:11" x14ac:dyDescent="0.35">
      <c r="B35" s="15"/>
      <c r="C35" s="5"/>
      <c r="D35" s="5"/>
      <c r="E35" s="5"/>
      <c r="F35" s="15"/>
      <c r="G35" s="16" t="str">
        <f t="shared" si="0"/>
        <v/>
      </c>
      <c r="H35" s="17"/>
      <c r="I35" s="18" t="str">
        <f t="shared" si="1"/>
        <v/>
      </c>
      <c r="J35" s="15"/>
      <c r="K35" s="17"/>
    </row>
    <row r="36" spans="2:11" x14ac:dyDescent="0.35">
      <c r="B36" s="15"/>
      <c r="C36" s="5"/>
      <c r="D36" s="5"/>
      <c r="E36" s="5"/>
      <c r="F36" s="15"/>
      <c r="G36" s="16" t="str">
        <f t="shared" si="0"/>
        <v/>
      </c>
      <c r="H36" s="17"/>
      <c r="I36" s="18" t="str">
        <f t="shared" si="1"/>
        <v/>
      </c>
      <c r="J36" s="15"/>
      <c r="K36" s="17"/>
    </row>
    <row r="38" spans="2:11" x14ac:dyDescent="0.35">
      <c r="C38" s="13" t="s">
        <v>70</v>
      </c>
      <c r="F38" s="19">
        <f>SUM(F7:F36)</f>
        <v>961</v>
      </c>
      <c r="G38" s="19">
        <f>SUM(G7:G36)</f>
        <v>10344.107899999999</v>
      </c>
      <c r="I38" s="20">
        <f>SUM(I7:I36)</f>
        <v>6248228.6720000012</v>
      </c>
      <c r="K38" s="20">
        <f>SUM(K7:K36)</f>
        <v>20000</v>
      </c>
    </row>
    <row r="40" spans="2:11" x14ac:dyDescent="0.35">
      <c r="C40" s="13" t="s">
        <v>4</v>
      </c>
      <c r="F40" s="19">
        <f>COUNTA(C7:C36)</f>
        <v>12</v>
      </c>
    </row>
    <row r="41" spans="2:11" x14ac:dyDescent="0.35">
      <c r="C41" s="7" t="s">
        <v>10</v>
      </c>
      <c r="F41" s="16">
        <f>G38</f>
        <v>10344.107899999999</v>
      </c>
    </row>
    <row r="42" spans="2:11" x14ac:dyDescent="0.35">
      <c r="C42" s="13" t="s">
        <v>71</v>
      </c>
      <c r="F42" s="20">
        <f>I38</f>
        <v>6248228.6720000012</v>
      </c>
    </row>
    <row r="43" spans="2:11" x14ac:dyDescent="0.35">
      <c r="C43" s="7" t="s">
        <v>14</v>
      </c>
      <c r="F43" s="18">
        <f>IF(G38=0,0,I38/G38)</f>
        <v>604.03746097814792</v>
      </c>
    </row>
    <row r="44" spans="2:11" x14ac:dyDescent="0.35">
      <c r="C44" s="13" t="s">
        <v>72</v>
      </c>
      <c r="F44" s="19">
        <f>MAX(J7:J36)</f>
        <v>12</v>
      </c>
    </row>
    <row r="45" spans="2:11" x14ac:dyDescent="0.35">
      <c r="C45" s="7" t="s">
        <v>73</v>
      </c>
      <c r="F45" s="18">
        <f>K38</f>
        <v>20000</v>
      </c>
    </row>
    <row r="46" spans="2:11" x14ac:dyDescent="0.35">
      <c r="C46" s="7" t="s">
        <v>74</v>
      </c>
      <c r="F46" s="18">
        <f>K38*12</f>
        <v>240000</v>
      </c>
    </row>
  </sheetData>
  <mergeCells count="1">
    <mergeCell ref="B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50"/>
  <sheetViews>
    <sheetView showGridLines="0" topLeftCell="A3" zoomScaleNormal="100" workbookViewId="0"/>
  </sheetViews>
  <sheetFormatPr defaultColWidth="8.6328125" defaultRowHeight="14.5" x14ac:dyDescent="0.35"/>
  <cols>
    <col min="1" max="1" width="2" customWidth="1"/>
    <col min="2" max="2" width="4" customWidth="1"/>
    <col min="3" max="3" width="38" customWidth="1"/>
    <col min="4" max="4" width="2" customWidth="1"/>
    <col min="5" max="5" width="14" customWidth="1"/>
    <col min="6" max="6" width="2" customWidth="1"/>
    <col min="7" max="7" width="45" customWidth="1"/>
  </cols>
  <sheetData>
    <row r="2" spans="2:7" ht="18" x14ac:dyDescent="0.4">
      <c r="B2" s="4" t="s">
        <v>75</v>
      </c>
      <c r="G2" s="12" t="s">
        <v>76</v>
      </c>
    </row>
    <row r="4" spans="2:7" x14ac:dyDescent="0.35">
      <c r="B4" s="3" t="s">
        <v>77</v>
      </c>
      <c r="C4" s="3"/>
      <c r="D4" s="3"/>
      <c r="E4" s="3"/>
    </row>
    <row r="5" spans="2:7" x14ac:dyDescent="0.35">
      <c r="C5" s="7" t="s">
        <v>78</v>
      </c>
      <c r="E5" s="21">
        <v>1950000</v>
      </c>
    </row>
    <row r="6" spans="2:7" x14ac:dyDescent="0.35">
      <c r="C6" s="7" t="s">
        <v>79</v>
      </c>
      <c r="E6" s="22">
        <v>46235</v>
      </c>
    </row>
    <row r="7" spans="2:7" x14ac:dyDescent="0.35">
      <c r="C7" s="7" t="s">
        <v>80</v>
      </c>
      <c r="E7" s="15">
        <v>11586</v>
      </c>
      <c r="G7" s="23" t="s">
        <v>81</v>
      </c>
    </row>
    <row r="9" spans="2:7" x14ac:dyDescent="0.35">
      <c r="B9" s="3" t="s">
        <v>82</v>
      </c>
      <c r="C9" s="3"/>
      <c r="D9" s="3"/>
      <c r="E9" s="3"/>
    </row>
    <row r="10" spans="2:7" x14ac:dyDescent="0.35">
      <c r="C10" s="7" t="s">
        <v>83</v>
      </c>
      <c r="E10" s="15">
        <v>2</v>
      </c>
      <c r="G10" s="23" t="s">
        <v>84</v>
      </c>
    </row>
    <row r="11" spans="2:7" x14ac:dyDescent="0.35">
      <c r="C11" s="7" t="s">
        <v>85</v>
      </c>
      <c r="E11" s="24">
        <v>3</v>
      </c>
      <c r="G11" s="23" t="s">
        <v>86</v>
      </c>
    </row>
    <row r="12" spans="2:7" x14ac:dyDescent="0.35">
      <c r="C12" s="7" t="s">
        <v>87</v>
      </c>
      <c r="E12" s="8">
        <f>'1. Unit Import'!F44</f>
        <v>12</v>
      </c>
      <c r="G12" s="23" t="s">
        <v>88</v>
      </c>
    </row>
    <row r="13" spans="2:7" x14ac:dyDescent="0.35">
      <c r="C13" s="7" t="s">
        <v>89</v>
      </c>
      <c r="E13" s="16">
        <f>E11+1</f>
        <v>4</v>
      </c>
    </row>
    <row r="14" spans="2:7" x14ac:dyDescent="0.35">
      <c r="C14" s="13" t="s">
        <v>90</v>
      </c>
      <c r="E14" s="19">
        <f>E11+E12</f>
        <v>15</v>
      </c>
    </row>
    <row r="16" spans="2:7" x14ac:dyDescent="0.35">
      <c r="B16" s="3" t="s">
        <v>91</v>
      </c>
      <c r="C16" s="3"/>
      <c r="D16" s="3"/>
      <c r="E16" s="3"/>
    </row>
    <row r="17" spans="2:7" x14ac:dyDescent="0.35">
      <c r="C17" s="7" t="s">
        <v>92</v>
      </c>
      <c r="E17" s="25">
        <v>0.65</v>
      </c>
    </row>
    <row r="18" spans="2:7" x14ac:dyDescent="0.35">
      <c r="C18" s="7" t="s">
        <v>93</v>
      </c>
      <c r="E18" s="25">
        <v>0.1</v>
      </c>
    </row>
    <row r="19" spans="2:7" x14ac:dyDescent="0.35">
      <c r="C19" s="7" t="s">
        <v>94</v>
      </c>
      <c r="E19" s="26">
        <v>0.02</v>
      </c>
    </row>
    <row r="20" spans="2:7" x14ac:dyDescent="0.35">
      <c r="C20" s="7" t="s">
        <v>95</v>
      </c>
      <c r="E20" s="26">
        <v>0.01</v>
      </c>
    </row>
    <row r="21" spans="2:7" x14ac:dyDescent="0.35">
      <c r="C21" s="7" t="s">
        <v>38</v>
      </c>
      <c r="E21" s="18">
        <f>E5*E17</f>
        <v>1267500</v>
      </c>
      <c r="G21" s="23" t="s">
        <v>96</v>
      </c>
    </row>
    <row r="22" spans="2:7" x14ac:dyDescent="0.35">
      <c r="C22" s="7" t="s">
        <v>97</v>
      </c>
      <c r="E22" s="18">
        <f>E21*(1+E19)*(1+E18/12)^E11*(1+E20)</f>
        <v>1338695.7553463541</v>
      </c>
      <c r="G22" s="23" t="s">
        <v>98</v>
      </c>
    </row>
    <row r="24" spans="2:7" x14ac:dyDescent="0.35">
      <c r="B24" s="3" t="s">
        <v>99</v>
      </c>
      <c r="C24" s="3"/>
      <c r="D24" s="3"/>
      <c r="E24" s="3"/>
    </row>
    <row r="25" spans="2:7" x14ac:dyDescent="0.35">
      <c r="C25" s="7" t="s">
        <v>93</v>
      </c>
      <c r="E25" s="25">
        <v>8.5000000000000006E-2</v>
      </c>
    </row>
    <row r="26" spans="2:7" x14ac:dyDescent="0.35">
      <c r="C26" s="7" t="s">
        <v>94</v>
      </c>
      <c r="E26" s="26">
        <v>1.4999999999999999E-2</v>
      </c>
    </row>
    <row r="27" spans="2:7" x14ac:dyDescent="0.35">
      <c r="C27" s="7" t="s">
        <v>95</v>
      </c>
      <c r="E27" s="26">
        <v>0.01</v>
      </c>
    </row>
    <row r="28" spans="2:7" x14ac:dyDescent="0.35">
      <c r="C28" s="7" t="s">
        <v>100</v>
      </c>
      <c r="E28" s="26">
        <v>0.65</v>
      </c>
    </row>
    <row r="29" spans="2:7" x14ac:dyDescent="0.35">
      <c r="C29" s="7" t="s">
        <v>101</v>
      </c>
      <c r="E29" s="18">
        <f>'3. Dev Costs'!F87-E33-E21+E22</f>
        <v>3787259.6204263549</v>
      </c>
      <c r="G29" s="23" t="s">
        <v>102</v>
      </c>
    </row>
    <row r="30" spans="2:7" x14ac:dyDescent="0.35">
      <c r="C30" s="7" t="s">
        <v>103</v>
      </c>
      <c r="E30" s="18">
        <f>E26*E29</f>
        <v>56808.894306395319</v>
      </c>
    </row>
    <row r="32" spans="2:7" x14ac:dyDescent="0.35">
      <c r="B32" s="3" t="s">
        <v>104</v>
      </c>
      <c r="C32" s="3"/>
      <c r="D32" s="3"/>
      <c r="E32" s="3"/>
    </row>
    <row r="33" spans="2:7" x14ac:dyDescent="0.35">
      <c r="C33" s="7" t="s">
        <v>105</v>
      </c>
      <c r="E33" s="21">
        <v>1400000</v>
      </c>
    </row>
    <row r="34" spans="2:7" x14ac:dyDescent="0.35">
      <c r="C34" s="7" t="s">
        <v>106</v>
      </c>
      <c r="E34" s="25">
        <v>0.5</v>
      </c>
    </row>
    <row r="35" spans="2:7" x14ac:dyDescent="0.35">
      <c r="C35" s="7" t="s">
        <v>107</v>
      </c>
      <c r="E35" s="27">
        <f>1-E34</f>
        <v>0.5</v>
      </c>
    </row>
    <row r="36" spans="2:7" x14ac:dyDescent="0.35">
      <c r="C36" s="7" t="s">
        <v>108</v>
      </c>
      <c r="E36" s="18">
        <f>E33*E34</f>
        <v>700000</v>
      </c>
    </row>
    <row r="37" spans="2:7" x14ac:dyDescent="0.35">
      <c r="C37" s="7" t="s">
        <v>109</v>
      </c>
      <c r="E37" s="18">
        <f>E33*E35</f>
        <v>700000</v>
      </c>
    </row>
    <row r="39" spans="2:7" x14ac:dyDescent="0.35">
      <c r="B39" s="3" t="s">
        <v>110</v>
      </c>
      <c r="C39" s="3"/>
      <c r="D39" s="3"/>
      <c r="E39" s="3"/>
    </row>
    <row r="40" spans="2:7" x14ac:dyDescent="0.35">
      <c r="C40" s="7" t="s">
        <v>111</v>
      </c>
      <c r="E40" s="26">
        <v>1.4999999999999999E-2</v>
      </c>
    </row>
    <row r="41" spans="2:7" x14ac:dyDescent="0.35">
      <c r="C41" s="7" t="s">
        <v>112</v>
      </c>
      <c r="E41" s="17">
        <v>750</v>
      </c>
    </row>
    <row r="42" spans="2:7" x14ac:dyDescent="0.35">
      <c r="C42" s="7" t="s">
        <v>113</v>
      </c>
      <c r="E42" s="24">
        <v>2</v>
      </c>
      <c r="G42" s="23" t="s">
        <v>114</v>
      </c>
    </row>
    <row r="43" spans="2:7" x14ac:dyDescent="0.35">
      <c r="C43" s="7" t="s">
        <v>115</v>
      </c>
      <c r="E43" s="25">
        <v>0</v>
      </c>
      <c r="G43" s="23" t="s">
        <v>116</v>
      </c>
    </row>
    <row r="45" spans="2:7" x14ac:dyDescent="0.35">
      <c r="B45" s="3" t="s">
        <v>117</v>
      </c>
      <c r="C45" s="3"/>
      <c r="D45" s="3"/>
      <c r="E45" s="3"/>
    </row>
    <row r="46" spans="2:7" x14ac:dyDescent="0.35">
      <c r="C46" s="7" t="s">
        <v>118</v>
      </c>
      <c r="E46" s="25">
        <v>0.65</v>
      </c>
    </row>
    <row r="47" spans="2:7" x14ac:dyDescent="0.35">
      <c r="C47" s="7" t="s">
        <v>119</v>
      </c>
      <c r="E47" s="25">
        <v>5.5E-2</v>
      </c>
    </row>
    <row r="48" spans="2:7" x14ac:dyDescent="0.35">
      <c r="C48" s="7" t="s">
        <v>120</v>
      </c>
      <c r="E48" s="26">
        <v>0.01</v>
      </c>
    </row>
    <row r="49" spans="3:5" x14ac:dyDescent="0.35">
      <c r="C49" s="7" t="s">
        <v>121</v>
      </c>
      <c r="E49" s="26">
        <v>0.05</v>
      </c>
    </row>
    <row r="50" spans="3:5" x14ac:dyDescent="0.35">
      <c r="C50" s="7" t="s">
        <v>122</v>
      </c>
      <c r="E50" s="26">
        <v>0.15</v>
      </c>
    </row>
  </sheetData>
  <mergeCells count="7">
    <mergeCell ref="B39:E39"/>
    <mergeCell ref="B45:E45"/>
    <mergeCell ref="B4:E4"/>
    <mergeCell ref="B9:E9"/>
    <mergeCell ref="B16:E16"/>
    <mergeCell ref="B24:E24"/>
    <mergeCell ref="B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87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6" customWidth="1"/>
    <col min="3" max="3" width="44" customWidth="1"/>
    <col min="4" max="4" width="10" customWidth="1"/>
    <col min="5" max="5" width="2" customWidth="1"/>
    <col min="6" max="6" width="13" customWidth="1"/>
    <col min="7" max="7" width="40" customWidth="1"/>
  </cols>
  <sheetData>
    <row r="2" spans="2:7" ht="18" x14ac:dyDescent="0.4">
      <c r="B2" s="4" t="s">
        <v>123</v>
      </c>
    </row>
    <row r="3" spans="2:7" x14ac:dyDescent="0.35">
      <c r="B3" s="12" t="s">
        <v>124</v>
      </c>
    </row>
    <row r="6" spans="2:7" x14ac:dyDescent="0.35">
      <c r="B6" s="3" t="s">
        <v>125</v>
      </c>
      <c r="C6" s="3"/>
      <c r="D6" s="3"/>
      <c r="E6" s="3"/>
      <c r="F6" s="3"/>
    </row>
    <row r="7" spans="2:7" x14ac:dyDescent="0.35">
      <c r="C7" s="7" t="s">
        <v>78</v>
      </c>
      <c r="F7" s="10">
        <f>'2. Inputs'!E5</f>
        <v>1950000</v>
      </c>
    </row>
    <row r="8" spans="2:7" x14ac:dyDescent="0.35">
      <c r="C8" s="13" t="s">
        <v>70</v>
      </c>
      <c r="F8" s="14">
        <f>F7</f>
        <v>1950000</v>
      </c>
    </row>
    <row r="10" spans="2:7" x14ac:dyDescent="0.35">
      <c r="B10" s="3" t="s">
        <v>126</v>
      </c>
      <c r="C10" s="3"/>
      <c r="D10" s="3"/>
      <c r="E10" s="3"/>
      <c r="F10" s="3"/>
    </row>
    <row r="11" spans="2:7" x14ac:dyDescent="0.35">
      <c r="B11" s="28" t="s">
        <v>127</v>
      </c>
      <c r="C11" s="7" t="s">
        <v>128</v>
      </c>
      <c r="F11" s="17">
        <v>7500</v>
      </c>
    </row>
    <row r="12" spans="2:7" x14ac:dyDescent="0.35">
      <c r="B12" s="28" t="s">
        <v>129</v>
      </c>
      <c r="C12" s="7" t="s">
        <v>130</v>
      </c>
      <c r="F12" s="17">
        <v>2500</v>
      </c>
    </row>
    <row r="13" spans="2:7" x14ac:dyDescent="0.35">
      <c r="B13" s="28" t="s">
        <v>131</v>
      </c>
      <c r="C13" s="7" t="s">
        <v>132</v>
      </c>
      <c r="F13" s="17">
        <v>1500</v>
      </c>
    </row>
    <row r="14" spans="2:7" x14ac:dyDescent="0.35">
      <c r="B14" s="28" t="s">
        <v>133</v>
      </c>
      <c r="C14" s="7" t="s">
        <v>134</v>
      </c>
      <c r="F14" s="17">
        <v>87000</v>
      </c>
      <c r="G14" s="23" t="s">
        <v>135</v>
      </c>
    </row>
    <row r="15" spans="2:7" x14ac:dyDescent="0.35">
      <c r="B15" s="28" t="s">
        <v>136</v>
      </c>
      <c r="C15" s="7" t="s">
        <v>137</v>
      </c>
      <c r="D15" s="26">
        <v>0.01</v>
      </c>
      <c r="F15" s="18">
        <f>D15*'2. Inputs'!E5</f>
        <v>19500</v>
      </c>
    </row>
    <row r="16" spans="2:7" x14ac:dyDescent="0.35">
      <c r="B16" s="28" t="s">
        <v>138</v>
      </c>
      <c r="C16" s="7" t="s">
        <v>139</v>
      </c>
      <c r="D16" s="26">
        <v>5.0000000000000001E-3</v>
      </c>
      <c r="F16" s="18">
        <f>D16*'2. Inputs'!E5</f>
        <v>9750</v>
      </c>
    </row>
    <row r="17" spans="2:6" x14ac:dyDescent="0.35">
      <c r="B17" s="28" t="s">
        <v>140</v>
      </c>
      <c r="C17" s="7" t="s">
        <v>141</v>
      </c>
      <c r="F17" s="17">
        <v>1500</v>
      </c>
    </row>
    <row r="18" spans="2:6" x14ac:dyDescent="0.35">
      <c r="B18" s="28" t="s">
        <v>142</v>
      </c>
      <c r="C18" s="7" t="s">
        <v>143</v>
      </c>
      <c r="F18" s="17">
        <v>2000</v>
      </c>
    </row>
    <row r="19" spans="2:6" x14ac:dyDescent="0.35">
      <c r="C19" s="13" t="s">
        <v>70</v>
      </c>
      <c r="F19" s="14">
        <f>SUM(F11:F18)</f>
        <v>131250</v>
      </c>
    </row>
    <row r="21" spans="2:6" x14ac:dyDescent="0.35">
      <c r="B21" s="3" t="s">
        <v>144</v>
      </c>
      <c r="C21" s="3"/>
      <c r="D21" s="3"/>
      <c r="E21" s="3"/>
      <c r="F21" s="3"/>
    </row>
    <row r="22" spans="2:6" x14ac:dyDescent="0.35">
      <c r="B22" s="28" t="s">
        <v>145</v>
      </c>
      <c r="C22" s="7" t="s">
        <v>146</v>
      </c>
      <c r="F22" s="17">
        <v>42500</v>
      </c>
    </row>
    <row r="23" spans="2:6" x14ac:dyDescent="0.35">
      <c r="B23" s="28" t="s">
        <v>147</v>
      </c>
      <c r="C23" s="7" t="s">
        <v>148</v>
      </c>
      <c r="F23" s="17">
        <v>10700</v>
      </c>
    </row>
    <row r="24" spans="2:6" x14ac:dyDescent="0.35">
      <c r="B24" s="28" t="s">
        <v>149</v>
      </c>
      <c r="C24" s="7" t="s">
        <v>150</v>
      </c>
      <c r="F24" s="17">
        <v>15650</v>
      </c>
    </row>
    <row r="25" spans="2:6" x14ac:dyDescent="0.35">
      <c r="B25" s="28" t="s">
        <v>151</v>
      </c>
      <c r="C25" s="7" t="s">
        <v>152</v>
      </c>
      <c r="F25" s="17">
        <v>7300</v>
      </c>
    </row>
    <row r="26" spans="2:6" x14ac:dyDescent="0.35">
      <c r="B26" s="28" t="s">
        <v>153</v>
      </c>
      <c r="C26" s="7" t="s">
        <v>154</v>
      </c>
      <c r="F26" s="17">
        <v>10000</v>
      </c>
    </row>
    <row r="27" spans="2:6" x14ac:dyDescent="0.35">
      <c r="B27" s="28" t="s">
        <v>155</v>
      </c>
      <c r="C27" s="7" t="s">
        <v>156</v>
      </c>
      <c r="F27" s="17">
        <v>13000</v>
      </c>
    </row>
    <row r="28" spans="2:6" x14ac:dyDescent="0.35">
      <c r="B28" s="28" t="s">
        <v>157</v>
      </c>
      <c r="C28" s="7" t="s">
        <v>158</v>
      </c>
      <c r="F28" s="17">
        <v>15650</v>
      </c>
    </row>
    <row r="29" spans="2:6" x14ac:dyDescent="0.35">
      <c r="B29" s="28" t="s">
        <v>159</v>
      </c>
      <c r="C29" s="7" t="s">
        <v>160</v>
      </c>
      <c r="F29" s="17">
        <v>3000</v>
      </c>
    </row>
    <row r="30" spans="2:6" x14ac:dyDescent="0.35">
      <c r="B30" s="28" t="s">
        <v>161</v>
      </c>
      <c r="C30" s="7" t="s">
        <v>162</v>
      </c>
      <c r="F30" s="17">
        <v>5000</v>
      </c>
    </row>
    <row r="31" spans="2:6" x14ac:dyDescent="0.35">
      <c r="B31" s="28" t="s">
        <v>163</v>
      </c>
      <c r="C31" s="7" t="s">
        <v>164</v>
      </c>
      <c r="F31" s="17">
        <v>7500</v>
      </c>
    </row>
    <row r="32" spans="2:6" x14ac:dyDescent="0.35">
      <c r="B32" s="28" t="s">
        <v>165</v>
      </c>
      <c r="C32" s="7" t="s">
        <v>166</v>
      </c>
      <c r="F32" s="17">
        <v>10000</v>
      </c>
    </row>
    <row r="33" spans="2:7" x14ac:dyDescent="0.35">
      <c r="B33" s="28" t="s">
        <v>167</v>
      </c>
      <c r="C33" s="7" t="s">
        <v>143</v>
      </c>
      <c r="F33" s="17">
        <v>10000</v>
      </c>
    </row>
    <row r="34" spans="2:7" x14ac:dyDescent="0.35">
      <c r="C34" s="13" t="s">
        <v>70</v>
      </c>
      <c r="F34" s="14">
        <f>SUM(F22:F33)</f>
        <v>150300</v>
      </c>
    </row>
    <row r="36" spans="2:7" x14ac:dyDescent="0.35">
      <c r="B36" s="3" t="s">
        <v>168</v>
      </c>
      <c r="C36" s="3"/>
      <c r="D36" s="3"/>
      <c r="E36" s="3"/>
      <c r="F36" s="3"/>
    </row>
    <row r="37" spans="2:7" x14ac:dyDescent="0.35">
      <c r="B37" s="28" t="s">
        <v>169</v>
      </c>
      <c r="C37" s="7" t="s">
        <v>170</v>
      </c>
      <c r="D37" s="18">
        <f>IF('2. Inputs'!E7=0,0,F37/'2. Inputs'!E7)</f>
        <v>198.95554980148455</v>
      </c>
      <c r="F37" s="17">
        <v>2305099</v>
      </c>
      <c r="G37" s="23" t="s">
        <v>171</v>
      </c>
    </row>
    <row r="38" spans="2:7" x14ac:dyDescent="0.35">
      <c r="B38" s="28" t="s">
        <v>172</v>
      </c>
      <c r="C38" s="7" t="s">
        <v>173</v>
      </c>
      <c r="F38" s="17">
        <v>40000</v>
      </c>
    </row>
    <row r="39" spans="2:7" x14ac:dyDescent="0.35">
      <c r="B39" s="28" t="s">
        <v>174</v>
      </c>
      <c r="C39" s="7" t="s">
        <v>175</v>
      </c>
      <c r="F39" s="17">
        <v>60000</v>
      </c>
    </row>
    <row r="40" spans="2:7" x14ac:dyDescent="0.35">
      <c r="B40" s="28" t="s">
        <v>176</v>
      </c>
      <c r="C40" s="7" t="s">
        <v>177</v>
      </c>
      <c r="F40" s="17">
        <v>20000</v>
      </c>
    </row>
    <row r="41" spans="2:7" x14ac:dyDescent="0.35">
      <c r="B41" s="28" t="s">
        <v>178</v>
      </c>
      <c r="C41" s="7" t="s">
        <v>179</v>
      </c>
      <c r="F41" s="17">
        <v>33000</v>
      </c>
    </row>
    <row r="42" spans="2:7" x14ac:dyDescent="0.35">
      <c r="B42" s="28" t="s">
        <v>180</v>
      </c>
      <c r="C42" s="7" t="s">
        <v>181</v>
      </c>
      <c r="F42" s="17">
        <v>2850</v>
      </c>
    </row>
    <row r="43" spans="2:7" x14ac:dyDescent="0.35">
      <c r="B43" s="28" t="s">
        <v>182</v>
      </c>
      <c r="C43" s="7" t="s">
        <v>183</v>
      </c>
      <c r="F43" s="17">
        <v>20000</v>
      </c>
    </row>
    <row r="44" spans="2:7" x14ac:dyDescent="0.35">
      <c r="B44" s="28" t="s">
        <v>184</v>
      </c>
      <c r="C44" s="7" t="s">
        <v>185</v>
      </c>
      <c r="D44" s="26">
        <v>0.05</v>
      </c>
      <c r="F44" s="18">
        <f>D44*F37</f>
        <v>115254.95000000001</v>
      </c>
    </row>
    <row r="45" spans="2:7" x14ac:dyDescent="0.35">
      <c r="B45" s="28" t="s">
        <v>186</v>
      </c>
      <c r="C45" s="7" t="s">
        <v>187</v>
      </c>
      <c r="D45" s="26">
        <v>1.4999999999999999E-2</v>
      </c>
      <c r="F45" s="18">
        <f>D45*F37</f>
        <v>34576.485000000001</v>
      </c>
    </row>
    <row r="46" spans="2:7" x14ac:dyDescent="0.35">
      <c r="B46" s="28" t="s">
        <v>188</v>
      </c>
      <c r="C46" s="7" t="s">
        <v>189</v>
      </c>
      <c r="D46" s="17">
        <v>1200</v>
      </c>
      <c r="F46" s="18">
        <f>D46*'1. Unit Import'!F40</f>
        <v>14400</v>
      </c>
    </row>
    <row r="47" spans="2:7" x14ac:dyDescent="0.35">
      <c r="B47" s="28" t="s">
        <v>190</v>
      </c>
      <c r="C47" s="7" t="s">
        <v>191</v>
      </c>
      <c r="F47" s="17">
        <v>3000</v>
      </c>
    </row>
    <row r="48" spans="2:7" x14ac:dyDescent="0.35">
      <c r="B48" s="28" t="s">
        <v>192</v>
      </c>
      <c r="C48" s="7" t="s">
        <v>143</v>
      </c>
      <c r="F48" s="17">
        <v>20000</v>
      </c>
    </row>
    <row r="49" spans="2:6" x14ac:dyDescent="0.35">
      <c r="C49" s="13" t="s">
        <v>70</v>
      </c>
      <c r="F49" s="14">
        <f>SUM(F37:F48)</f>
        <v>2668180.4350000001</v>
      </c>
    </row>
    <row r="51" spans="2:6" x14ac:dyDescent="0.35">
      <c r="B51" s="3" t="s">
        <v>193</v>
      </c>
      <c r="C51" s="3"/>
      <c r="D51" s="3"/>
      <c r="E51" s="3"/>
      <c r="F51" s="3"/>
    </row>
    <row r="52" spans="2:6" x14ac:dyDescent="0.35">
      <c r="B52" s="28" t="s">
        <v>194</v>
      </c>
      <c r="C52" s="7" t="s">
        <v>195</v>
      </c>
      <c r="F52" s="17">
        <v>9000</v>
      </c>
    </row>
    <row r="53" spans="2:6" x14ac:dyDescent="0.35">
      <c r="B53" s="28" t="s">
        <v>196</v>
      </c>
      <c r="C53" s="7" t="s">
        <v>197</v>
      </c>
      <c r="F53" s="17">
        <v>6000</v>
      </c>
    </row>
    <row r="54" spans="2:6" x14ac:dyDescent="0.35">
      <c r="B54" s="28" t="s">
        <v>198</v>
      </c>
      <c r="C54" s="7" t="s">
        <v>199</v>
      </c>
      <c r="F54" s="17">
        <v>3000</v>
      </c>
    </row>
    <row r="55" spans="2:6" x14ac:dyDescent="0.35">
      <c r="B55" s="28" t="s">
        <v>200</v>
      </c>
      <c r="C55" s="7" t="s">
        <v>201</v>
      </c>
      <c r="F55" s="17">
        <v>400</v>
      </c>
    </row>
    <row r="56" spans="2:6" x14ac:dyDescent="0.35">
      <c r="B56" s="28" t="s">
        <v>202</v>
      </c>
      <c r="C56" s="7" t="s">
        <v>203</v>
      </c>
      <c r="F56" s="17">
        <v>15000</v>
      </c>
    </row>
    <row r="57" spans="2:6" x14ac:dyDescent="0.35">
      <c r="B57" s="28" t="s">
        <v>204</v>
      </c>
      <c r="C57" s="7" t="s">
        <v>143</v>
      </c>
      <c r="F57" s="17">
        <v>5000</v>
      </c>
    </row>
    <row r="58" spans="2:6" x14ac:dyDescent="0.35">
      <c r="C58" s="13" t="s">
        <v>70</v>
      </c>
      <c r="F58" s="14">
        <f>SUM(F52:F57)</f>
        <v>38400</v>
      </c>
    </row>
    <row r="60" spans="2:6" x14ac:dyDescent="0.35">
      <c r="B60" s="3" t="s">
        <v>205</v>
      </c>
      <c r="C60" s="3"/>
      <c r="D60" s="3"/>
      <c r="E60" s="3"/>
      <c r="F60" s="3"/>
    </row>
    <row r="61" spans="2:6" x14ac:dyDescent="0.35">
      <c r="B61" s="28" t="s">
        <v>206</v>
      </c>
      <c r="C61" s="7" t="s">
        <v>207</v>
      </c>
      <c r="F61" s="17">
        <v>3300</v>
      </c>
    </row>
    <row r="62" spans="2:6" x14ac:dyDescent="0.35">
      <c r="B62" s="28" t="s">
        <v>208</v>
      </c>
      <c r="C62" s="7" t="s">
        <v>209</v>
      </c>
      <c r="F62" s="17">
        <v>2750</v>
      </c>
    </row>
    <row r="63" spans="2:6" x14ac:dyDescent="0.35">
      <c r="B63" s="28" t="s">
        <v>210</v>
      </c>
      <c r="C63" s="7" t="s">
        <v>211</v>
      </c>
      <c r="F63" s="17">
        <v>2500</v>
      </c>
    </row>
    <row r="64" spans="2:6" x14ac:dyDescent="0.35">
      <c r="B64" s="28" t="s">
        <v>212</v>
      </c>
      <c r="C64" s="7" t="s">
        <v>143</v>
      </c>
      <c r="F64" s="17">
        <v>5000</v>
      </c>
    </row>
    <row r="65" spans="2:6" x14ac:dyDescent="0.35">
      <c r="C65" s="13" t="s">
        <v>70</v>
      </c>
      <c r="F65" s="14">
        <f>SUM(F61:F64)</f>
        <v>13550</v>
      </c>
    </row>
    <row r="67" spans="2:6" x14ac:dyDescent="0.35">
      <c r="B67" s="3" t="s">
        <v>213</v>
      </c>
      <c r="C67" s="3"/>
      <c r="D67" s="3"/>
      <c r="E67" s="3"/>
      <c r="F67" s="3"/>
    </row>
    <row r="68" spans="2:6" x14ac:dyDescent="0.35">
      <c r="B68" s="28" t="s">
        <v>214</v>
      </c>
      <c r="C68" s="7" t="s">
        <v>215</v>
      </c>
      <c r="F68" s="17">
        <v>20000</v>
      </c>
    </row>
    <row r="69" spans="2:6" x14ac:dyDescent="0.35">
      <c r="B69" s="28" t="s">
        <v>216</v>
      </c>
      <c r="C69" s="7" t="s">
        <v>217</v>
      </c>
      <c r="F69" s="17">
        <v>10000</v>
      </c>
    </row>
    <row r="70" spans="2:6" x14ac:dyDescent="0.35">
      <c r="B70" s="28" t="s">
        <v>218</v>
      </c>
      <c r="C70" s="7" t="s">
        <v>219</v>
      </c>
      <c r="F70" s="10">
        <f>'2. Inputs'!E40*'1. Unit Import'!F42</f>
        <v>93723.43008000002</v>
      </c>
    </row>
    <row r="71" spans="2:6" x14ac:dyDescent="0.35">
      <c r="B71" s="28" t="s">
        <v>220</v>
      </c>
      <c r="C71" s="7" t="s">
        <v>221</v>
      </c>
      <c r="F71" s="10">
        <f>'2. Inputs'!E41*'1. Unit Import'!F40</f>
        <v>9000</v>
      </c>
    </row>
    <row r="72" spans="2:6" x14ac:dyDescent="0.35">
      <c r="B72" s="28" t="s">
        <v>222</v>
      </c>
      <c r="C72" s="7" t="s">
        <v>223</v>
      </c>
      <c r="F72" s="17">
        <v>6000</v>
      </c>
    </row>
    <row r="73" spans="2:6" x14ac:dyDescent="0.35">
      <c r="B73" s="28" t="s">
        <v>224</v>
      </c>
      <c r="C73" s="7" t="s">
        <v>143</v>
      </c>
      <c r="F73" s="17">
        <v>5000</v>
      </c>
    </row>
    <row r="74" spans="2:6" x14ac:dyDescent="0.35">
      <c r="C74" s="13" t="s">
        <v>70</v>
      </c>
      <c r="F74" s="14">
        <f>SUM(F68:F73)</f>
        <v>143723.43008000002</v>
      </c>
    </row>
    <row r="76" spans="2:6" x14ac:dyDescent="0.35">
      <c r="B76" s="3" t="s">
        <v>225</v>
      </c>
      <c r="C76" s="3"/>
      <c r="D76" s="3"/>
      <c r="E76" s="3"/>
      <c r="F76" s="3"/>
    </row>
    <row r="77" spans="2:6" x14ac:dyDescent="0.35">
      <c r="B77" s="28" t="s">
        <v>226</v>
      </c>
      <c r="C77" s="7" t="s">
        <v>227</v>
      </c>
      <c r="F77" s="17">
        <v>7500</v>
      </c>
    </row>
    <row r="78" spans="2:6" x14ac:dyDescent="0.35">
      <c r="B78" s="28" t="s">
        <v>228</v>
      </c>
      <c r="C78" s="7" t="s">
        <v>229</v>
      </c>
      <c r="F78" s="17">
        <v>2100</v>
      </c>
    </row>
    <row r="79" spans="2:6" x14ac:dyDescent="0.35">
      <c r="B79" s="28" t="s">
        <v>230</v>
      </c>
      <c r="C79" s="7" t="s">
        <v>231</v>
      </c>
      <c r="F79" s="17">
        <v>750</v>
      </c>
    </row>
    <row r="80" spans="2:6" x14ac:dyDescent="0.35">
      <c r="B80" s="28" t="s">
        <v>232</v>
      </c>
      <c r="C80" s="7" t="s">
        <v>233</v>
      </c>
      <c r="F80" s="17">
        <v>3000</v>
      </c>
    </row>
    <row r="81" spans="2:6" x14ac:dyDescent="0.35">
      <c r="B81" s="28" t="s">
        <v>234</v>
      </c>
      <c r="C81" s="7" t="s">
        <v>235</v>
      </c>
      <c r="F81" s="17">
        <v>510</v>
      </c>
    </row>
    <row r="82" spans="2:6" x14ac:dyDescent="0.35">
      <c r="B82" s="28" t="s">
        <v>236</v>
      </c>
      <c r="C82" s="7" t="s">
        <v>237</v>
      </c>
      <c r="F82" s="17">
        <v>600</v>
      </c>
    </row>
    <row r="83" spans="2:6" x14ac:dyDescent="0.35">
      <c r="B83" s="28" t="s">
        <v>238</v>
      </c>
      <c r="C83" s="7" t="s">
        <v>239</v>
      </c>
      <c r="F83" s="17">
        <v>1200</v>
      </c>
    </row>
    <row r="84" spans="2:6" x14ac:dyDescent="0.35">
      <c r="B84" s="28" t="s">
        <v>240</v>
      </c>
      <c r="C84" s="7" t="s">
        <v>241</v>
      </c>
      <c r="F84" s="17">
        <v>5000</v>
      </c>
    </row>
    <row r="85" spans="2:6" x14ac:dyDescent="0.35">
      <c r="C85" s="13" t="s">
        <v>70</v>
      </c>
      <c r="F85" s="14">
        <f>SUM(F77:F84)</f>
        <v>20660</v>
      </c>
    </row>
    <row r="87" spans="2:6" x14ac:dyDescent="0.35">
      <c r="C87" s="13" t="s">
        <v>242</v>
      </c>
      <c r="F87" s="14">
        <f>F8+F19+F34+F49+F58+F65+F74+F85</f>
        <v>5116063.8650800008</v>
      </c>
    </row>
  </sheetData>
  <mergeCells count="8">
    <mergeCell ref="B60:F60"/>
    <mergeCell ref="B67:F67"/>
    <mergeCell ref="B76:F76"/>
    <mergeCell ref="B6:F6"/>
    <mergeCell ref="B10:F10"/>
    <mergeCell ref="B21:F21"/>
    <mergeCell ref="B36:F36"/>
    <mergeCell ref="B51:F5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Z45"/>
  <sheetViews>
    <sheetView showGridLines="0" tabSelected="1" zoomScaleNormal="100" workbookViewId="0">
      <pane xSplit="4" ySplit="5" topLeftCell="E12" activePane="bottomRight" state="frozen"/>
      <selection pane="topRight" activeCell="E1" sqref="E1"/>
      <selection pane="bottomLeft" activeCell="A6" sqref="A6"/>
      <selection pane="bottomRight" activeCell="B20" sqref="B20"/>
    </sheetView>
  </sheetViews>
  <sheetFormatPr defaultColWidth="8.6328125" defaultRowHeight="14.5" x14ac:dyDescent="0.35"/>
  <cols>
    <col min="1" max="1" width="2" customWidth="1"/>
    <col min="2" max="2" width="34" customWidth="1"/>
    <col min="3" max="4" width="14" customWidth="1"/>
    <col min="5" max="52" width="11" customWidth="1"/>
  </cols>
  <sheetData>
    <row r="2" spans="2:52" ht="18" x14ac:dyDescent="0.4">
      <c r="B2" s="4" t="s">
        <v>243</v>
      </c>
    </row>
    <row r="3" spans="2:52" x14ac:dyDescent="0.35">
      <c r="B3" s="12" t="s">
        <v>244</v>
      </c>
    </row>
    <row r="4" spans="2:52" x14ac:dyDescent="0.35">
      <c r="B4" s="13" t="s">
        <v>245</v>
      </c>
      <c r="E4" s="29">
        <v>1</v>
      </c>
      <c r="F4" s="29">
        <v>2</v>
      </c>
      <c r="G4" s="29">
        <v>3</v>
      </c>
      <c r="H4" s="29">
        <v>4</v>
      </c>
      <c r="I4" s="29">
        <v>5</v>
      </c>
      <c r="J4" s="29">
        <v>6</v>
      </c>
      <c r="K4" s="29">
        <v>7</v>
      </c>
      <c r="L4" s="29">
        <v>8</v>
      </c>
      <c r="M4" s="29">
        <v>9</v>
      </c>
      <c r="N4" s="29">
        <v>10</v>
      </c>
      <c r="O4" s="29">
        <v>11</v>
      </c>
      <c r="P4" s="29">
        <v>12</v>
      </c>
      <c r="Q4" s="29">
        <v>13</v>
      </c>
      <c r="R4" s="29">
        <v>14</v>
      </c>
      <c r="S4" s="29">
        <v>15</v>
      </c>
      <c r="T4" s="29">
        <v>16</v>
      </c>
      <c r="U4" s="29">
        <v>17</v>
      </c>
      <c r="V4" s="29">
        <v>18</v>
      </c>
      <c r="W4" s="29">
        <v>19</v>
      </c>
      <c r="X4" s="29">
        <v>20</v>
      </c>
      <c r="Y4" s="29">
        <v>21</v>
      </c>
      <c r="Z4" s="29">
        <v>22</v>
      </c>
      <c r="AA4" s="29">
        <v>23</v>
      </c>
      <c r="AB4" s="29">
        <v>24</v>
      </c>
      <c r="AC4" s="29">
        <v>25</v>
      </c>
      <c r="AD4" s="29">
        <v>26</v>
      </c>
      <c r="AE4" s="29">
        <v>27</v>
      </c>
      <c r="AF4" s="29">
        <v>28</v>
      </c>
      <c r="AG4" s="29">
        <v>29</v>
      </c>
      <c r="AH4" s="29">
        <v>30</v>
      </c>
      <c r="AI4" s="29">
        <v>31</v>
      </c>
      <c r="AJ4" s="29">
        <v>32</v>
      </c>
      <c r="AK4" s="29">
        <v>33</v>
      </c>
      <c r="AL4" s="29">
        <v>34</v>
      </c>
      <c r="AM4" s="29">
        <v>35</v>
      </c>
      <c r="AN4" s="29">
        <v>36</v>
      </c>
      <c r="AO4" s="29">
        <v>37</v>
      </c>
      <c r="AP4" s="29">
        <v>38</v>
      </c>
      <c r="AQ4" s="29">
        <v>39</v>
      </c>
      <c r="AR4" s="29">
        <v>40</v>
      </c>
      <c r="AS4" s="29">
        <v>41</v>
      </c>
      <c r="AT4" s="29">
        <v>42</v>
      </c>
      <c r="AU4" s="29">
        <v>43</v>
      </c>
      <c r="AV4" s="29">
        <v>44</v>
      </c>
      <c r="AW4" s="29">
        <v>45</v>
      </c>
      <c r="AX4" s="29">
        <v>46</v>
      </c>
      <c r="AY4" s="29">
        <v>47</v>
      </c>
      <c r="AZ4" s="29">
        <v>48</v>
      </c>
    </row>
    <row r="5" spans="2:52" x14ac:dyDescent="0.35">
      <c r="B5" s="13" t="s">
        <v>246</v>
      </c>
      <c r="E5" s="30">
        <f>EDATE('2. Inputs'!$E$6,E4-1)</f>
        <v>46235</v>
      </c>
      <c r="F5" s="30">
        <f>EDATE('2. Inputs'!$E$6,F4-1)</f>
        <v>46266</v>
      </c>
      <c r="G5" s="30">
        <f>EDATE('2. Inputs'!$E$6,G4-1)</f>
        <v>46296</v>
      </c>
      <c r="H5" s="30">
        <f>EDATE('2. Inputs'!$E$6,H4-1)</f>
        <v>46327</v>
      </c>
      <c r="I5" s="30">
        <f>EDATE('2. Inputs'!$E$6,I4-1)</f>
        <v>46357</v>
      </c>
      <c r="J5" s="30">
        <f>EDATE('2. Inputs'!$E$6,J4-1)</f>
        <v>46388</v>
      </c>
      <c r="K5" s="30">
        <f>EDATE('2. Inputs'!$E$6,K4-1)</f>
        <v>46419</v>
      </c>
      <c r="L5" s="30">
        <f>EDATE('2. Inputs'!$E$6,L4-1)</f>
        <v>46447</v>
      </c>
      <c r="M5" s="30">
        <f>EDATE('2. Inputs'!$E$6,M4-1)</f>
        <v>46478</v>
      </c>
      <c r="N5" s="30">
        <f>EDATE('2. Inputs'!$E$6,N4-1)</f>
        <v>46508</v>
      </c>
      <c r="O5" s="30">
        <f>EDATE('2. Inputs'!$E$6,O4-1)</f>
        <v>46539</v>
      </c>
      <c r="P5" s="30">
        <f>EDATE('2. Inputs'!$E$6,P4-1)</f>
        <v>46569</v>
      </c>
      <c r="Q5" s="30">
        <f>EDATE('2. Inputs'!$E$6,Q4-1)</f>
        <v>46600</v>
      </c>
      <c r="R5" s="30">
        <f>EDATE('2. Inputs'!$E$6,R4-1)</f>
        <v>46631</v>
      </c>
      <c r="S5" s="30">
        <f>EDATE('2. Inputs'!$E$6,S4-1)</f>
        <v>46661</v>
      </c>
      <c r="T5" s="30">
        <f>EDATE('2. Inputs'!$E$6,T4-1)</f>
        <v>46692</v>
      </c>
      <c r="U5" s="30">
        <f>EDATE('2. Inputs'!$E$6,U4-1)</f>
        <v>46722</v>
      </c>
      <c r="V5" s="30">
        <f>EDATE('2. Inputs'!$E$6,V4-1)</f>
        <v>46753</v>
      </c>
      <c r="W5" s="30">
        <f>EDATE('2. Inputs'!$E$6,W4-1)</f>
        <v>46784</v>
      </c>
      <c r="X5" s="30">
        <f>EDATE('2. Inputs'!$E$6,X4-1)</f>
        <v>46813</v>
      </c>
      <c r="Y5" s="30">
        <f>EDATE('2. Inputs'!$E$6,Y4-1)</f>
        <v>46844</v>
      </c>
      <c r="Z5" s="30">
        <f>EDATE('2. Inputs'!$E$6,Z4-1)</f>
        <v>46874</v>
      </c>
      <c r="AA5" s="30">
        <f>EDATE('2. Inputs'!$E$6,AA4-1)</f>
        <v>46905</v>
      </c>
      <c r="AB5" s="30">
        <f>EDATE('2. Inputs'!$E$6,AB4-1)</f>
        <v>46935</v>
      </c>
      <c r="AC5" s="30">
        <f>EDATE('2. Inputs'!$E$6,AC4-1)</f>
        <v>46966</v>
      </c>
      <c r="AD5" s="30">
        <f>EDATE('2. Inputs'!$E$6,AD4-1)</f>
        <v>46997</v>
      </c>
      <c r="AE5" s="30">
        <f>EDATE('2. Inputs'!$E$6,AE4-1)</f>
        <v>47027</v>
      </c>
      <c r="AF5" s="30">
        <f>EDATE('2. Inputs'!$E$6,AF4-1)</f>
        <v>47058</v>
      </c>
      <c r="AG5" s="30">
        <f>EDATE('2. Inputs'!$E$6,AG4-1)</f>
        <v>47088</v>
      </c>
      <c r="AH5" s="30">
        <f>EDATE('2. Inputs'!$E$6,AH4-1)</f>
        <v>47119</v>
      </c>
      <c r="AI5" s="30">
        <f>EDATE('2. Inputs'!$E$6,AI4-1)</f>
        <v>47150</v>
      </c>
      <c r="AJ5" s="30">
        <f>EDATE('2. Inputs'!$E$6,AJ4-1)</f>
        <v>47178</v>
      </c>
      <c r="AK5" s="30">
        <f>EDATE('2. Inputs'!$E$6,AK4-1)</f>
        <v>47209</v>
      </c>
      <c r="AL5" s="30">
        <f>EDATE('2. Inputs'!$E$6,AL4-1)</f>
        <v>47239</v>
      </c>
      <c r="AM5" s="30">
        <f>EDATE('2. Inputs'!$E$6,AM4-1)</f>
        <v>47270</v>
      </c>
      <c r="AN5" s="30">
        <f>EDATE('2. Inputs'!$E$6,AN4-1)</f>
        <v>47300</v>
      </c>
      <c r="AO5" s="30">
        <f>EDATE('2. Inputs'!$E$6,AO4-1)</f>
        <v>47331</v>
      </c>
      <c r="AP5" s="30">
        <f>EDATE('2. Inputs'!$E$6,AP4-1)</f>
        <v>47362</v>
      </c>
      <c r="AQ5" s="30">
        <f>EDATE('2. Inputs'!$E$6,AQ4-1)</f>
        <v>47392</v>
      </c>
      <c r="AR5" s="30">
        <f>EDATE('2. Inputs'!$E$6,AR4-1)</f>
        <v>47423</v>
      </c>
      <c r="AS5" s="30">
        <f>EDATE('2. Inputs'!$E$6,AS4-1)</f>
        <v>47453</v>
      </c>
      <c r="AT5" s="30">
        <f>EDATE('2. Inputs'!$E$6,AT4-1)</f>
        <v>47484</v>
      </c>
      <c r="AU5" s="30">
        <f>EDATE('2. Inputs'!$E$6,AU4-1)</f>
        <v>47515</v>
      </c>
      <c r="AV5" s="30">
        <f>EDATE('2. Inputs'!$E$6,AV4-1)</f>
        <v>47543</v>
      </c>
      <c r="AW5" s="30">
        <f>EDATE('2. Inputs'!$E$6,AW4-1)</f>
        <v>47574</v>
      </c>
      <c r="AX5" s="30">
        <f>EDATE('2. Inputs'!$E$6,AX4-1)</f>
        <v>47604</v>
      </c>
      <c r="AY5" s="30">
        <f>EDATE('2. Inputs'!$E$6,AY4-1)</f>
        <v>47635</v>
      </c>
      <c r="AZ5" s="30">
        <f>EDATE('2. Inputs'!$E$6,AZ4-1)</f>
        <v>47665</v>
      </c>
    </row>
    <row r="7" spans="2:52" x14ac:dyDescent="0.35">
      <c r="B7" s="3" t="s">
        <v>247</v>
      </c>
      <c r="C7" s="3"/>
      <c r="D7" s="3"/>
    </row>
    <row r="8" spans="2:52" x14ac:dyDescent="0.35">
      <c r="B8" s="7" t="s">
        <v>248</v>
      </c>
      <c r="C8" s="20">
        <f t="shared" ref="C8:C16" si="0">SUM(E8:AZ8)</f>
        <v>1950000</v>
      </c>
      <c r="E8" s="18">
        <f>IF(E$4=1,'3. Dev Costs'!$F$7,0)</f>
        <v>1950000</v>
      </c>
      <c r="F8" s="18">
        <f>IF(F$4=1,'3. Dev Costs'!$F$7,0)</f>
        <v>0</v>
      </c>
      <c r="G8" s="18">
        <f>IF(G$4=1,'3. Dev Costs'!$F$7,0)</f>
        <v>0</v>
      </c>
      <c r="H8" s="18">
        <f>IF(H$4=1,'3. Dev Costs'!$F$7,0)</f>
        <v>0</v>
      </c>
      <c r="I8" s="18">
        <f>IF(I$4=1,'3. Dev Costs'!$F$7,0)</f>
        <v>0</v>
      </c>
      <c r="J8" s="18">
        <f>IF(J$4=1,'3. Dev Costs'!$F$7,0)</f>
        <v>0</v>
      </c>
      <c r="K8" s="18">
        <f>IF(K$4=1,'3. Dev Costs'!$F$7,0)</f>
        <v>0</v>
      </c>
      <c r="L8" s="18">
        <f>IF(L$4=1,'3. Dev Costs'!$F$7,0)</f>
        <v>0</v>
      </c>
      <c r="M8" s="18">
        <f>IF(M$4=1,'3. Dev Costs'!$F$7,0)</f>
        <v>0</v>
      </c>
      <c r="N8" s="18">
        <f>IF(N$4=1,'3. Dev Costs'!$F$7,0)</f>
        <v>0</v>
      </c>
      <c r="O8" s="18">
        <f>IF(O$4=1,'3. Dev Costs'!$F$7,0)</f>
        <v>0</v>
      </c>
      <c r="P8" s="18">
        <f>IF(P$4=1,'3. Dev Costs'!$F$7,0)</f>
        <v>0</v>
      </c>
      <c r="Q8" s="18">
        <f>IF(Q$4=1,'3. Dev Costs'!$F$7,0)</f>
        <v>0</v>
      </c>
      <c r="R8" s="18">
        <f>IF(R$4=1,'3. Dev Costs'!$F$7,0)</f>
        <v>0</v>
      </c>
      <c r="S8" s="18">
        <f>IF(S$4=1,'3. Dev Costs'!$F$7,0)</f>
        <v>0</v>
      </c>
      <c r="T8" s="18">
        <f>IF(T$4=1,'3. Dev Costs'!$F$7,0)</f>
        <v>0</v>
      </c>
      <c r="U8" s="18">
        <f>IF(U$4=1,'3. Dev Costs'!$F$7,0)</f>
        <v>0</v>
      </c>
      <c r="V8" s="18">
        <f>IF(V$4=1,'3. Dev Costs'!$F$7,0)</f>
        <v>0</v>
      </c>
      <c r="W8" s="18">
        <f>IF(W$4=1,'3. Dev Costs'!$F$7,0)</f>
        <v>0</v>
      </c>
      <c r="X8" s="18">
        <f>IF(X$4=1,'3. Dev Costs'!$F$7,0)</f>
        <v>0</v>
      </c>
      <c r="Y8" s="18">
        <f>IF(Y$4=1,'3. Dev Costs'!$F$7,0)</f>
        <v>0</v>
      </c>
      <c r="Z8" s="18">
        <f>IF(Z$4=1,'3. Dev Costs'!$F$7,0)</f>
        <v>0</v>
      </c>
      <c r="AA8" s="18">
        <f>IF(AA$4=1,'3. Dev Costs'!$F$7,0)</f>
        <v>0</v>
      </c>
      <c r="AB8" s="18">
        <f>IF(AB$4=1,'3. Dev Costs'!$F$7,0)</f>
        <v>0</v>
      </c>
      <c r="AC8" s="18">
        <f>IF(AC$4=1,'3. Dev Costs'!$F$7,0)</f>
        <v>0</v>
      </c>
      <c r="AD8" s="18">
        <f>IF(AD$4=1,'3. Dev Costs'!$F$7,0)</f>
        <v>0</v>
      </c>
      <c r="AE8" s="18">
        <f>IF(AE$4=1,'3. Dev Costs'!$F$7,0)</f>
        <v>0</v>
      </c>
      <c r="AF8" s="18">
        <f>IF(AF$4=1,'3. Dev Costs'!$F$7,0)</f>
        <v>0</v>
      </c>
      <c r="AG8" s="18">
        <f>IF(AG$4=1,'3. Dev Costs'!$F$7,0)</f>
        <v>0</v>
      </c>
      <c r="AH8" s="18">
        <f>IF(AH$4=1,'3. Dev Costs'!$F$7,0)</f>
        <v>0</v>
      </c>
      <c r="AI8" s="18">
        <f>IF(AI$4=1,'3. Dev Costs'!$F$7,0)</f>
        <v>0</v>
      </c>
      <c r="AJ8" s="18">
        <f>IF(AJ$4=1,'3. Dev Costs'!$F$7,0)</f>
        <v>0</v>
      </c>
      <c r="AK8" s="18">
        <f>IF(AK$4=1,'3. Dev Costs'!$F$7,0)</f>
        <v>0</v>
      </c>
      <c r="AL8" s="18">
        <f>IF(AL$4=1,'3. Dev Costs'!$F$7,0)</f>
        <v>0</v>
      </c>
      <c r="AM8" s="18">
        <f>IF(AM$4=1,'3. Dev Costs'!$F$7,0)</f>
        <v>0</v>
      </c>
      <c r="AN8" s="18">
        <f>IF(AN$4=1,'3. Dev Costs'!$F$7,0)</f>
        <v>0</v>
      </c>
      <c r="AO8" s="18">
        <f>IF(AO$4=1,'3. Dev Costs'!$F$7,0)</f>
        <v>0</v>
      </c>
      <c r="AP8" s="18">
        <f>IF(AP$4=1,'3. Dev Costs'!$F$7,0)</f>
        <v>0</v>
      </c>
      <c r="AQ8" s="18">
        <f>IF(AQ$4=1,'3. Dev Costs'!$F$7,0)</f>
        <v>0</v>
      </c>
      <c r="AR8" s="18">
        <f>IF(AR$4=1,'3. Dev Costs'!$F$7,0)</f>
        <v>0</v>
      </c>
      <c r="AS8" s="18">
        <f>IF(AS$4=1,'3. Dev Costs'!$F$7,0)</f>
        <v>0</v>
      </c>
      <c r="AT8" s="18">
        <f>IF(AT$4=1,'3. Dev Costs'!$F$7,0)</f>
        <v>0</v>
      </c>
      <c r="AU8" s="18">
        <f>IF(AU$4=1,'3. Dev Costs'!$F$7,0)</f>
        <v>0</v>
      </c>
      <c r="AV8" s="18">
        <f>IF(AV$4=1,'3. Dev Costs'!$F$7,0)</f>
        <v>0</v>
      </c>
      <c r="AW8" s="18">
        <f>IF(AW$4=1,'3. Dev Costs'!$F$7,0)</f>
        <v>0</v>
      </c>
      <c r="AX8" s="18">
        <f>IF(AX$4=1,'3. Dev Costs'!$F$7,0)</f>
        <v>0</v>
      </c>
      <c r="AY8" s="18">
        <f>IF(AY$4=1,'3. Dev Costs'!$F$7,0)</f>
        <v>0</v>
      </c>
      <c r="AZ8" s="18">
        <f>IF(AZ$4=1,'3. Dev Costs'!$F$7,0)</f>
        <v>0</v>
      </c>
    </row>
    <row r="9" spans="2:52" x14ac:dyDescent="0.35">
      <c r="B9" s="7" t="s">
        <v>23</v>
      </c>
      <c r="C9" s="20">
        <f t="shared" si="0"/>
        <v>131250</v>
      </c>
      <c r="E9" s="18">
        <f>IF(E$4&lt;='2. Inputs'!$E$10,'3. Dev Costs'!$F$19/'2. Inputs'!$E$10,0)</f>
        <v>65625</v>
      </c>
      <c r="F9" s="18">
        <f>IF(F$4&lt;='2. Inputs'!$E$10,'3. Dev Costs'!$F$19/'2. Inputs'!$E$10,0)</f>
        <v>65625</v>
      </c>
      <c r="G9" s="18">
        <f>IF(G$4&lt;='2. Inputs'!$E$10,'3. Dev Costs'!$F$19/'2. Inputs'!$E$10,0)</f>
        <v>0</v>
      </c>
      <c r="H9" s="18">
        <f>IF(H$4&lt;='2. Inputs'!$E$10,'3. Dev Costs'!$F$19/'2. Inputs'!$E$10,0)</f>
        <v>0</v>
      </c>
      <c r="I9" s="18">
        <f>IF(I$4&lt;='2. Inputs'!$E$10,'3. Dev Costs'!$F$19/'2. Inputs'!$E$10,0)</f>
        <v>0</v>
      </c>
      <c r="J9" s="18">
        <f>IF(J$4&lt;='2. Inputs'!$E$10,'3. Dev Costs'!$F$19/'2. Inputs'!$E$10,0)</f>
        <v>0</v>
      </c>
      <c r="K9" s="18">
        <f>IF(K$4&lt;='2. Inputs'!$E$10,'3. Dev Costs'!$F$19/'2. Inputs'!$E$10,0)</f>
        <v>0</v>
      </c>
      <c r="L9" s="18">
        <f>IF(L$4&lt;='2. Inputs'!$E$10,'3. Dev Costs'!$F$19/'2. Inputs'!$E$10,0)</f>
        <v>0</v>
      </c>
      <c r="M9" s="18">
        <f>IF(M$4&lt;='2. Inputs'!$E$10,'3. Dev Costs'!$F$19/'2. Inputs'!$E$10,0)</f>
        <v>0</v>
      </c>
      <c r="N9" s="18">
        <f>IF(N$4&lt;='2. Inputs'!$E$10,'3. Dev Costs'!$F$19/'2. Inputs'!$E$10,0)</f>
        <v>0</v>
      </c>
      <c r="O9" s="18">
        <f>IF(O$4&lt;='2. Inputs'!$E$10,'3. Dev Costs'!$F$19/'2. Inputs'!$E$10,0)</f>
        <v>0</v>
      </c>
      <c r="P9" s="18">
        <f>IF(P$4&lt;='2. Inputs'!$E$10,'3. Dev Costs'!$F$19/'2. Inputs'!$E$10,0)</f>
        <v>0</v>
      </c>
      <c r="Q9" s="18">
        <f>IF(Q$4&lt;='2. Inputs'!$E$10,'3. Dev Costs'!$F$19/'2. Inputs'!$E$10,0)</f>
        <v>0</v>
      </c>
      <c r="R9" s="18">
        <f>IF(R$4&lt;='2. Inputs'!$E$10,'3. Dev Costs'!$F$19/'2. Inputs'!$E$10,0)</f>
        <v>0</v>
      </c>
      <c r="S9" s="18">
        <f>IF(S$4&lt;='2. Inputs'!$E$10,'3. Dev Costs'!$F$19/'2. Inputs'!$E$10,0)</f>
        <v>0</v>
      </c>
      <c r="T9" s="18">
        <f>IF(T$4&lt;='2. Inputs'!$E$10,'3. Dev Costs'!$F$19/'2. Inputs'!$E$10,0)</f>
        <v>0</v>
      </c>
      <c r="U9" s="18">
        <f>IF(U$4&lt;='2. Inputs'!$E$10,'3. Dev Costs'!$F$19/'2. Inputs'!$E$10,0)</f>
        <v>0</v>
      </c>
      <c r="V9" s="18">
        <f>IF(V$4&lt;='2. Inputs'!$E$10,'3. Dev Costs'!$F$19/'2. Inputs'!$E$10,0)</f>
        <v>0</v>
      </c>
      <c r="W9" s="18">
        <f>IF(W$4&lt;='2. Inputs'!$E$10,'3. Dev Costs'!$F$19/'2. Inputs'!$E$10,0)</f>
        <v>0</v>
      </c>
      <c r="X9" s="18">
        <f>IF(X$4&lt;='2. Inputs'!$E$10,'3. Dev Costs'!$F$19/'2. Inputs'!$E$10,0)</f>
        <v>0</v>
      </c>
      <c r="Y9" s="18">
        <f>IF(Y$4&lt;='2. Inputs'!$E$10,'3. Dev Costs'!$F$19/'2. Inputs'!$E$10,0)</f>
        <v>0</v>
      </c>
      <c r="Z9" s="18">
        <f>IF(Z$4&lt;='2. Inputs'!$E$10,'3. Dev Costs'!$F$19/'2. Inputs'!$E$10,0)</f>
        <v>0</v>
      </c>
      <c r="AA9" s="18">
        <f>IF(AA$4&lt;='2. Inputs'!$E$10,'3. Dev Costs'!$F$19/'2. Inputs'!$E$10,0)</f>
        <v>0</v>
      </c>
      <c r="AB9" s="18">
        <f>IF(AB$4&lt;='2. Inputs'!$E$10,'3. Dev Costs'!$F$19/'2. Inputs'!$E$10,0)</f>
        <v>0</v>
      </c>
      <c r="AC9" s="18">
        <f>IF(AC$4&lt;='2. Inputs'!$E$10,'3. Dev Costs'!$F$19/'2. Inputs'!$E$10,0)</f>
        <v>0</v>
      </c>
      <c r="AD9" s="18">
        <f>IF(AD$4&lt;='2. Inputs'!$E$10,'3. Dev Costs'!$F$19/'2. Inputs'!$E$10,0)</f>
        <v>0</v>
      </c>
      <c r="AE9" s="18">
        <f>IF(AE$4&lt;='2. Inputs'!$E$10,'3. Dev Costs'!$F$19/'2. Inputs'!$E$10,0)</f>
        <v>0</v>
      </c>
      <c r="AF9" s="18">
        <f>IF(AF$4&lt;='2. Inputs'!$E$10,'3. Dev Costs'!$F$19/'2. Inputs'!$E$10,0)</f>
        <v>0</v>
      </c>
      <c r="AG9" s="18">
        <f>IF(AG$4&lt;='2. Inputs'!$E$10,'3. Dev Costs'!$F$19/'2. Inputs'!$E$10,0)</f>
        <v>0</v>
      </c>
      <c r="AH9" s="18">
        <f>IF(AH$4&lt;='2. Inputs'!$E$10,'3. Dev Costs'!$F$19/'2. Inputs'!$E$10,0)</f>
        <v>0</v>
      </c>
      <c r="AI9" s="18">
        <f>IF(AI$4&lt;='2. Inputs'!$E$10,'3. Dev Costs'!$F$19/'2. Inputs'!$E$10,0)</f>
        <v>0</v>
      </c>
      <c r="AJ9" s="18">
        <f>IF(AJ$4&lt;='2. Inputs'!$E$10,'3. Dev Costs'!$F$19/'2. Inputs'!$E$10,0)</f>
        <v>0</v>
      </c>
      <c r="AK9" s="18">
        <f>IF(AK$4&lt;='2. Inputs'!$E$10,'3. Dev Costs'!$F$19/'2. Inputs'!$E$10,0)</f>
        <v>0</v>
      </c>
      <c r="AL9" s="18">
        <f>IF(AL$4&lt;='2. Inputs'!$E$10,'3. Dev Costs'!$F$19/'2. Inputs'!$E$10,0)</f>
        <v>0</v>
      </c>
      <c r="AM9" s="18">
        <f>IF(AM$4&lt;='2. Inputs'!$E$10,'3. Dev Costs'!$F$19/'2. Inputs'!$E$10,0)</f>
        <v>0</v>
      </c>
      <c r="AN9" s="18">
        <f>IF(AN$4&lt;='2. Inputs'!$E$10,'3. Dev Costs'!$F$19/'2. Inputs'!$E$10,0)</f>
        <v>0</v>
      </c>
      <c r="AO9" s="18">
        <f>IF(AO$4&lt;='2. Inputs'!$E$10,'3. Dev Costs'!$F$19/'2. Inputs'!$E$10,0)</f>
        <v>0</v>
      </c>
      <c r="AP9" s="18">
        <f>IF(AP$4&lt;='2. Inputs'!$E$10,'3. Dev Costs'!$F$19/'2. Inputs'!$E$10,0)</f>
        <v>0</v>
      </c>
      <c r="AQ9" s="18">
        <f>IF(AQ$4&lt;='2. Inputs'!$E$10,'3. Dev Costs'!$F$19/'2. Inputs'!$E$10,0)</f>
        <v>0</v>
      </c>
      <c r="AR9" s="18">
        <f>IF(AR$4&lt;='2. Inputs'!$E$10,'3. Dev Costs'!$F$19/'2. Inputs'!$E$10,0)</f>
        <v>0</v>
      </c>
      <c r="AS9" s="18">
        <f>IF(AS$4&lt;='2. Inputs'!$E$10,'3. Dev Costs'!$F$19/'2. Inputs'!$E$10,0)</f>
        <v>0</v>
      </c>
      <c r="AT9" s="18">
        <f>IF(AT$4&lt;='2. Inputs'!$E$10,'3. Dev Costs'!$F$19/'2. Inputs'!$E$10,0)</f>
        <v>0</v>
      </c>
      <c r="AU9" s="18">
        <f>IF(AU$4&lt;='2. Inputs'!$E$10,'3. Dev Costs'!$F$19/'2. Inputs'!$E$10,0)</f>
        <v>0</v>
      </c>
      <c r="AV9" s="18">
        <f>IF(AV$4&lt;='2. Inputs'!$E$10,'3. Dev Costs'!$F$19/'2. Inputs'!$E$10,0)</f>
        <v>0</v>
      </c>
      <c r="AW9" s="18">
        <f>IF(AW$4&lt;='2. Inputs'!$E$10,'3. Dev Costs'!$F$19/'2. Inputs'!$E$10,0)</f>
        <v>0</v>
      </c>
      <c r="AX9" s="18">
        <f>IF(AX$4&lt;='2. Inputs'!$E$10,'3. Dev Costs'!$F$19/'2. Inputs'!$E$10,0)</f>
        <v>0</v>
      </c>
      <c r="AY9" s="18">
        <f>IF(AY$4&lt;='2. Inputs'!$E$10,'3. Dev Costs'!$F$19/'2. Inputs'!$E$10,0)</f>
        <v>0</v>
      </c>
      <c r="AZ9" s="18">
        <f>IF(AZ$4&lt;='2. Inputs'!$E$10,'3. Dev Costs'!$F$19/'2. Inputs'!$E$10,0)</f>
        <v>0</v>
      </c>
    </row>
    <row r="10" spans="2:52" x14ac:dyDescent="0.35">
      <c r="B10" s="7" t="s">
        <v>25</v>
      </c>
      <c r="C10" s="20">
        <f t="shared" si="0"/>
        <v>150300</v>
      </c>
      <c r="E10" s="18">
        <f>IF(E$4&lt;='2. Inputs'!$E$11,'3. Dev Costs'!$F$34/'2. Inputs'!$E$11,0)</f>
        <v>50100</v>
      </c>
      <c r="F10" s="18">
        <f>IF(F$4&lt;='2. Inputs'!$E$11,'3. Dev Costs'!$F$34/'2. Inputs'!$E$11,0)</f>
        <v>50100</v>
      </c>
      <c r="G10" s="18">
        <f>IF(G$4&lt;='2. Inputs'!$E$11,'3. Dev Costs'!$F$34/'2. Inputs'!$E$11,0)</f>
        <v>50100</v>
      </c>
      <c r="H10" s="18">
        <f>IF(H$4&lt;='2. Inputs'!$E$11,'3. Dev Costs'!$F$34/'2. Inputs'!$E$11,0)</f>
        <v>0</v>
      </c>
      <c r="I10" s="18">
        <f>IF(I$4&lt;='2. Inputs'!$E$11,'3. Dev Costs'!$F$34/'2. Inputs'!$E$11,0)</f>
        <v>0</v>
      </c>
      <c r="J10" s="18">
        <f>IF(J$4&lt;='2. Inputs'!$E$11,'3. Dev Costs'!$F$34/'2. Inputs'!$E$11,0)</f>
        <v>0</v>
      </c>
      <c r="K10" s="18">
        <f>IF(K$4&lt;='2. Inputs'!$E$11,'3. Dev Costs'!$F$34/'2. Inputs'!$E$11,0)</f>
        <v>0</v>
      </c>
      <c r="L10" s="18">
        <f>IF(L$4&lt;='2. Inputs'!$E$11,'3. Dev Costs'!$F$34/'2. Inputs'!$E$11,0)</f>
        <v>0</v>
      </c>
      <c r="M10" s="18">
        <f>IF(M$4&lt;='2. Inputs'!$E$11,'3. Dev Costs'!$F$34/'2. Inputs'!$E$11,0)</f>
        <v>0</v>
      </c>
      <c r="N10" s="18">
        <f>IF(N$4&lt;='2. Inputs'!$E$11,'3. Dev Costs'!$F$34/'2. Inputs'!$E$11,0)</f>
        <v>0</v>
      </c>
      <c r="O10" s="18">
        <f>IF(O$4&lt;='2. Inputs'!$E$11,'3. Dev Costs'!$F$34/'2. Inputs'!$E$11,0)</f>
        <v>0</v>
      </c>
      <c r="P10" s="18">
        <f>IF(P$4&lt;='2. Inputs'!$E$11,'3. Dev Costs'!$F$34/'2. Inputs'!$E$11,0)</f>
        <v>0</v>
      </c>
      <c r="Q10" s="18">
        <f>IF(Q$4&lt;='2. Inputs'!$E$11,'3. Dev Costs'!$F$34/'2. Inputs'!$E$11,0)</f>
        <v>0</v>
      </c>
      <c r="R10" s="18">
        <f>IF(R$4&lt;='2. Inputs'!$E$11,'3. Dev Costs'!$F$34/'2. Inputs'!$E$11,0)</f>
        <v>0</v>
      </c>
      <c r="S10" s="18">
        <f>IF(S$4&lt;='2. Inputs'!$E$11,'3. Dev Costs'!$F$34/'2. Inputs'!$E$11,0)</f>
        <v>0</v>
      </c>
      <c r="T10" s="18">
        <f>IF(T$4&lt;='2. Inputs'!$E$11,'3. Dev Costs'!$F$34/'2. Inputs'!$E$11,0)</f>
        <v>0</v>
      </c>
      <c r="U10" s="18">
        <f>IF(U$4&lt;='2. Inputs'!$E$11,'3. Dev Costs'!$F$34/'2. Inputs'!$E$11,0)</f>
        <v>0</v>
      </c>
      <c r="V10" s="18">
        <f>IF(V$4&lt;='2. Inputs'!$E$11,'3. Dev Costs'!$F$34/'2. Inputs'!$E$11,0)</f>
        <v>0</v>
      </c>
      <c r="W10" s="18">
        <f>IF(W$4&lt;='2. Inputs'!$E$11,'3. Dev Costs'!$F$34/'2. Inputs'!$E$11,0)</f>
        <v>0</v>
      </c>
      <c r="X10" s="18">
        <f>IF(X$4&lt;='2. Inputs'!$E$11,'3. Dev Costs'!$F$34/'2. Inputs'!$E$11,0)</f>
        <v>0</v>
      </c>
      <c r="Y10" s="18">
        <f>IF(Y$4&lt;='2. Inputs'!$E$11,'3. Dev Costs'!$F$34/'2. Inputs'!$E$11,0)</f>
        <v>0</v>
      </c>
      <c r="Z10" s="18">
        <f>IF(Z$4&lt;='2. Inputs'!$E$11,'3. Dev Costs'!$F$34/'2. Inputs'!$E$11,0)</f>
        <v>0</v>
      </c>
      <c r="AA10" s="18">
        <f>IF(AA$4&lt;='2. Inputs'!$E$11,'3. Dev Costs'!$F$34/'2. Inputs'!$E$11,0)</f>
        <v>0</v>
      </c>
      <c r="AB10" s="18">
        <f>IF(AB$4&lt;='2. Inputs'!$E$11,'3. Dev Costs'!$F$34/'2. Inputs'!$E$11,0)</f>
        <v>0</v>
      </c>
      <c r="AC10" s="18">
        <f>IF(AC$4&lt;='2. Inputs'!$E$11,'3. Dev Costs'!$F$34/'2. Inputs'!$E$11,0)</f>
        <v>0</v>
      </c>
      <c r="AD10" s="18">
        <f>IF(AD$4&lt;='2. Inputs'!$E$11,'3. Dev Costs'!$F$34/'2. Inputs'!$E$11,0)</f>
        <v>0</v>
      </c>
      <c r="AE10" s="18">
        <f>IF(AE$4&lt;='2. Inputs'!$E$11,'3. Dev Costs'!$F$34/'2. Inputs'!$E$11,0)</f>
        <v>0</v>
      </c>
      <c r="AF10" s="18">
        <f>IF(AF$4&lt;='2. Inputs'!$E$11,'3. Dev Costs'!$F$34/'2. Inputs'!$E$11,0)</f>
        <v>0</v>
      </c>
      <c r="AG10" s="18">
        <f>IF(AG$4&lt;='2. Inputs'!$E$11,'3. Dev Costs'!$F$34/'2. Inputs'!$E$11,0)</f>
        <v>0</v>
      </c>
      <c r="AH10" s="18">
        <f>IF(AH$4&lt;='2. Inputs'!$E$11,'3. Dev Costs'!$F$34/'2. Inputs'!$E$11,0)</f>
        <v>0</v>
      </c>
      <c r="AI10" s="18">
        <f>IF(AI$4&lt;='2. Inputs'!$E$11,'3. Dev Costs'!$F$34/'2. Inputs'!$E$11,0)</f>
        <v>0</v>
      </c>
      <c r="AJ10" s="18">
        <f>IF(AJ$4&lt;='2. Inputs'!$E$11,'3. Dev Costs'!$F$34/'2. Inputs'!$E$11,0)</f>
        <v>0</v>
      </c>
      <c r="AK10" s="18">
        <f>IF(AK$4&lt;='2. Inputs'!$E$11,'3. Dev Costs'!$F$34/'2. Inputs'!$E$11,0)</f>
        <v>0</v>
      </c>
      <c r="AL10" s="18">
        <f>IF(AL$4&lt;='2. Inputs'!$E$11,'3. Dev Costs'!$F$34/'2. Inputs'!$E$11,0)</f>
        <v>0</v>
      </c>
      <c r="AM10" s="18">
        <f>IF(AM$4&lt;='2. Inputs'!$E$11,'3. Dev Costs'!$F$34/'2. Inputs'!$E$11,0)</f>
        <v>0</v>
      </c>
      <c r="AN10" s="18">
        <f>IF(AN$4&lt;='2. Inputs'!$E$11,'3. Dev Costs'!$F$34/'2. Inputs'!$E$11,0)</f>
        <v>0</v>
      </c>
      <c r="AO10" s="18">
        <f>IF(AO$4&lt;='2. Inputs'!$E$11,'3. Dev Costs'!$F$34/'2. Inputs'!$E$11,0)</f>
        <v>0</v>
      </c>
      <c r="AP10" s="18">
        <f>IF(AP$4&lt;='2. Inputs'!$E$11,'3. Dev Costs'!$F$34/'2. Inputs'!$E$11,0)</f>
        <v>0</v>
      </c>
      <c r="AQ10" s="18">
        <f>IF(AQ$4&lt;='2. Inputs'!$E$11,'3. Dev Costs'!$F$34/'2. Inputs'!$E$11,0)</f>
        <v>0</v>
      </c>
      <c r="AR10" s="18">
        <f>IF(AR$4&lt;='2. Inputs'!$E$11,'3. Dev Costs'!$F$34/'2. Inputs'!$E$11,0)</f>
        <v>0</v>
      </c>
      <c r="AS10" s="18">
        <f>IF(AS$4&lt;='2. Inputs'!$E$11,'3. Dev Costs'!$F$34/'2. Inputs'!$E$11,0)</f>
        <v>0</v>
      </c>
      <c r="AT10" s="18">
        <f>IF(AT$4&lt;='2. Inputs'!$E$11,'3. Dev Costs'!$F$34/'2. Inputs'!$E$11,0)</f>
        <v>0</v>
      </c>
      <c r="AU10" s="18">
        <f>IF(AU$4&lt;='2. Inputs'!$E$11,'3. Dev Costs'!$F$34/'2. Inputs'!$E$11,0)</f>
        <v>0</v>
      </c>
      <c r="AV10" s="18">
        <f>IF(AV$4&lt;='2. Inputs'!$E$11,'3. Dev Costs'!$F$34/'2. Inputs'!$E$11,0)</f>
        <v>0</v>
      </c>
      <c r="AW10" s="18">
        <f>IF(AW$4&lt;='2. Inputs'!$E$11,'3. Dev Costs'!$F$34/'2. Inputs'!$E$11,0)</f>
        <v>0</v>
      </c>
      <c r="AX10" s="18">
        <f>IF(AX$4&lt;='2. Inputs'!$E$11,'3. Dev Costs'!$F$34/'2. Inputs'!$E$11,0)</f>
        <v>0</v>
      </c>
      <c r="AY10" s="18">
        <f>IF(AY$4&lt;='2. Inputs'!$E$11,'3. Dev Costs'!$F$34/'2. Inputs'!$E$11,0)</f>
        <v>0</v>
      </c>
      <c r="AZ10" s="18">
        <f>IF(AZ$4&lt;='2. Inputs'!$E$11,'3. Dev Costs'!$F$34/'2. Inputs'!$E$11,0)</f>
        <v>0</v>
      </c>
    </row>
    <row r="11" spans="2:52" x14ac:dyDescent="0.35">
      <c r="B11" s="7" t="s">
        <v>27</v>
      </c>
      <c r="C11" s="20">
        <f t="shared" si="0"/>
        <v>2668180.4350000001</v>
      </c>
      <c r="E11" s="18">
        <f>IF(AND(E$4&gt;'2. Inputs'!$E$11,E$4&lt;='2. Inputs'!$E$14),'3. Dev Costs'!$F$49/'2. Inputs'!$E$12,0)</f>
        <v>0</v>
      </c>
      <c r="F11" s="18">
        <f>IF(AND(F$4&gt;'2. Inputs'!$E$11,F$4&lt;='2. Inputs'!$E$14),'3. Dev Costs'!$F$49/'2. Inputs'!$E$12,0)</f>
        <v>0</v>
      </c>
      <c r="G11" s="18">
        <f>IF(AND(G$4&gt;'2. Inputs'!$E$11,G$4&lt;='2. Inputs'!$E$14),'3. Dev Costs'!$F$49/'2. Inputs'!$E$12,0)</f>
        <v>0</v>
      </c>
      <c r="H11" s="18">
        <f>IF(AND(H$4&gt;'2. Inputs'!$E$11,H$4&lt;='2. Inputs'!$E$14),'3. Dev Costs'!$F$49/'2. Inputs'!$E$12,0)</f>
        <v>222348.36958333335</v>
      </c>
      <c r="I11" s="18">
        <f>IF(AND(I$4&gt;'2. Inputs'!$E$11,I$4&lt;='2. Inputs'!$E$14),'3. Dev Costs'!$F$49/'2. Inputs'!$E$12,0)</f>
        <v>222348.36958333335</v>
      </c>
      <c r="J11" s="18">
        <f>IF(AND(J$4&gt;'2. Inputs'!$E$11,J$4&lt;='2. Inputs'!$E$14),'3. Dev Costs'!$F$49/'2. Inputs'!$E$12,0)</f>
        <v>222348.36958333335</v>
      </c>
      <c r="K11" s="18">
        <f>IF(AND(K$4&gt;'2. Inputs'!$E$11,K$4&lt;='2. Inputs'!$E$14),'3. Dev Costs'!$F$49/'2. Inputs'!$E$12,0)</f>
        <v>222348.36958333335</v>
      </c>
      <c r="L11" s="18">
        <f>IF(AND(L$4&gt;'2. Inputs'!$E$11,L$4&lt;='2. Inputs'!$E$14),'3. Dev Costs'!$F$49/'2. Inputs'!$E$12,0)</f>
        <v>222348.36958333335</v>
      </c>
      <c r="M11" s="18">
        <f>IF(AND(M$4&gt;'2. Inputs'!$E$11,M$4&lt;='2. Inputs'!$E$14),'3. Dev Costs'!$F$49/'2. Inputs'!$E$12,0)</f>
        <v>222348.36958333335</v>
      </c>
      <c r="N11" s="18">
        <f>IF(AND(N$4&gt;'2. Inputs'!$E$11,N$4&lt;='2. Inputs'!$E$14),'3. Dev Costs'!$F$49/'2. Inputs'!$E$12,0)</f>
        <v>222348.36958333335</v>
      </c>
      <c r="O11" s="18">
        <f>IF(AND(O$4&gt;'2. Inputs'!$E$11,O$4&lt;='2. Inputs'!$E$14),'3. Dev Costs'!$F$49/'2. Inputs'!$E$12,0)</f>
        <v>222348.36958333335</v>
      </c>
      <c r="P11" s="18">
        <f>IF(AND(P$4&gt;'2. Inputs'!$E$11,P$4&lt;='2. Inputs'!$E$14),'3. Dev Costs'!$F$49/'2. Inputs'!$E$12,0)</f>
        <v>222348.36958333335</v>
      </c>
      <c r="Q11" s="18">
        <f>IF(AND(Q$4&gt;'2. Inputs'!$E$11,Q$4&lt;='2. Inputs'!$E$14),'3. Dev Costs'!$F$49/'2. Inputs'!$E$12,0)</f>
        <v>222348.36958333335</v>
      </c>
      <c r="R11" s="18">
        <f>IF(AND(R$4&gt;'2. Inputs'!$E$11,R$4&lt;='2. Inputs'!$E$14),'3. Dev Costs'!$F$49/'2. Inputs'!$E$12,0)</f>
        <v>222348.36958333335</v>
      </c>
      <c r="S11" s="18">
        <f>IF(AND(S$4&gt;'2. Inputs'!$E$11,S$4&lt;='2. Inputs'!$E$14),'3. Dev Costs'!$F$49/'2. Inputs'!$E$12,0)</f>
        <v>222348.36958333335</v>
      </c>
      <c r="T11" s="18">
        <f>IF(AND(T$4&gt;'2. Inputs'!$E$11,T$4&lt;='2. Inputs'!$E$14),'3. Dev Costs'!$F$49/'2. Inputs'!$E$12,0)</f>
        <v>0</v>
      </c>
      <c r="U11" s="18">
        <f>IF(AND(U$4&gt;'2. Inputs'!$E$11,U$4&lt;='2. Inputs'!$E$14),'3. Dev Costs'!$F$49/'2. Inputs'!$E$12,0)</f>
        <v>0</v>
      </c>
      <c r="V11" s="18">
        <f>IF(AND(V$4&gt;'2. Inputs'!$E$11,V$4&lt;='2. Inputs'!$E$14),'3. Dev Costs'!$F$49/'2. Inputs'!$E$12,0)</f>
        <v>0</v>
      </c>
      <c r="W11" s="18">
        <f>IF(AND(W$4&gt;'2. Inputs'!$E$11,W$4&lt;='2. Inputs'!$E$14),'3. Dev Costs'!$F$49/'2. Inputs'!$E$12,0)</f>
        <v>0</v>
      </c>
      <c r="X11" s="18">
        <f>IF(AND(X$4&gt;'2. Inputs'!$E$11,X$4&lt;='2. Inputs'!$E$14),'3. Dev Costs'!$F$49/'2. Inputs'!$E$12,0)</f>
        <v>0</v>
      </c>
      <c r="Y11" s="18">
        <f>IF(AND(Y$4&gt;'2. Inputs'!$E$11,Y$4&lt;='2. Inputs'!$E$14),'3. Dev Costs'!$F$49/'2. Inputs'!$E$12,0)</f>
        <v>0</v>
      </c>
      <c r="Z11" s="18">
        <f>IF(AND(Z$4&gt;'2. Inputs'!$E$11,Z$4&lt;='2. Inputs'!$E$14),'3. Dev Costs'!$F$49/'2. Inputs'!$E$12,0)</f>
        <v>0</v>
      </c>
      <c r="AA11" s="18">
        <f>IF(AND(AA$4&gt;'2. Inputs'!$E$11,AA$4&lt;='2. Inputs'!$E$14),'3. Dev Costs'!$F$49/'2. Inputs'!$E$12,0)</f>
        <v>0</v>
      </c>
      <c r="AB11" s="18">
        <f>IF(AND(AB$4&gt;'2. Inputs'!$E$11,AB$4&lt;='2. Inputs'!$E$14),'3. Dev Costs'!$F$49/'2. Inputs'!$E$12,0)</f>
        <v>0</v>
      </c>
      <c r="AC11" s="18">
        <f>IF(AND(AC$4&gt;'2. Inputs'!$E$11,AC$4&lt;='2. Inputs'!$E$14),'3. Dev Costs'!$F$49/'2. Inputs'!$E$12,0)</f>
        <v>0</v>
      </c>
      <c r="AD11" s="18">
        <f>IF(AND(AD$4&gt;'2. Inputs'!$E$11,AD$4&lt;='2. Inputs'!$E$14),'3. Dev Costs'!$F$49/'2. Inputs'!$E$12,0)</f>
        <v>0</v>
      </c>
      <c r="AE11" s="18">
        <f>IF(AND(AE$4&gt;'2. Inputs'!$E$11,AE$4&lt;='2. Inputs'!$E$14),'3. Dev Costs'!$F$49/'2. Inputs'!$E$12,0)</f>
        <v>0</v>
      </c>
      <c r="AF11" s="18">
        <f>IF(AND(AF$4&gt;'2. Inputs'!$E$11,AF$4&lt;='2. Inputs'!$E$14),'3. Dev Costs'!$F$49/'2. Inputs'!$E$12,0)</f>
        <v>0</v>
      </c>
      <c r="AG11" s="18">
        <f>IF(AND(AG$4&gt;'2. Inputs'!$E$11,AG$4&lt;='2. Inputs'!$E$14),'3. Dev Costs'!$F$49/'2. Inputs'!$E$12,0)</f>
        <v>0</v>
      </c>
      <c r="AH11" s="18">
        <f>IF(AND(AH$4&gt;'2. Inputs'!$E$11,AH$4&lt;='2. Inputs'!$E$14),'3. Dev Costs'!$F$49/'2. Inputs'!$E$12,0)</f>
        <v>0</v>
      </c>
      <c r="AI11" s="18">
        <f>IF(AND(AI$4&gt;'2. Inputs'!$E$11,AI$4&lt;='2. Inputs'!$E$14),'3. Dev Costs'!$F$49/'2. Inputs'!$E$12,0)</f>
        <v>0</v>
      </c>
      <c r="AJ11" s="18">
        <f>IF(AND(AJ$4&gt;'2. Inputs'!$E$11,AJ$4&lt;='2. Inputs'!$E$14),'3. Dev Costs'!$F$49/'2. Inputs'!$E$12,0)</f>
        <v>0</v>
      </c>
      <c r="AK11" s="18">
        <f>IF(AND(AK$4&gt;'2. Inputs'!$E$11,AK$4&lt;='2. Inputs'!$E$14),'3. Dev Costs'!$F$49/'2. Inputs'!$E$12,0)</f>
        <v>0</v>
      </c>
      <c r="AL11" s="18">
        <f>IF(AND(AL$4&gt;'2. Inputs'!$E$11,AL$4&lt;='2. Inputs'!$E$14),'3. Dev Costs'!$F$49/'2. Inputs'!$E$12,0)</f>
        <v>0</v>
      </c>
      <c r="AM11" s="18">
        <f>IF(AND(AM$4&gt;'2. Inputs'!$E$11,AM$4&lt;='2. Inputs'!$E$14),'3. Dev Costs'!$F$49/'2. Inputs'!$E$12,0)</f>
        <v>0</v>
      </c>
      <c r="AN11" s="18">
        <f>IF(AND(AN$4&gt;'2. Inputs'!$E$11,AN$4&lt;='2. Inputs'!$E$14),'3. Dev Costs'!$F$49/'2. Inputs'!$E$12,0)</f>
        <v>0</v>
      </c>
      <c r="AO11" s="18">
        <f>IF(AND(AO$4&gt;'2. Inputs'!$E$11,AO$4&lt;='2. Inputs'!$E$14),'3. Dev Costs'!$F$49/'2. Inputs'!$E$12,0)</f>
        <v>0</v>
      </c>
      <c r="AP11" s="18">
        <f>IF(AND(AP$4&gt;'2. Inputs'!$E$11,AP$4&lt;='2. Inputs'!$E$14),'3. Dev Costs'!$F$49/'2. Inputs'!$E$12,0)</f>
        <v>0</v>
      </c>
      <c r="AQ11" s="18">
        <f>IF(AND(AQ$4&gt;'2. Inputs'!$E$11,AQ$4&lt;='2. Inputs'!$E$14),'3. Dev Costs'!$F$49/'2. Inputs'!$E$12,0)</f>
        <v>0</v>
      </c>
      <c r="AR11" s="18">
        <f>IF(AND(AR$4&gt;'2. Inputs'!$E$11,AR$4&lt;='2. Inputs'!$E$14),'3. Dev Costs'!$F$49/'2. Inputs'!$E$12,0)</f>
        <v>0</v>
      </c>
      <c r="AS11" s="18">
        <f>IF(AND(AS$4&gt;'2. Inputs'!$E$11,AS$4&lt;='2. Inputs'!$E$14),'3. Dev Costs'!$F$49/'2. Inputs'!$E$12,0)</f>
        <v>0</v>
      </c>
      <c r="AT11" s="18">
        <f>IF(AND(AT$4&gt;'2. Inputs'!$E$11,AT$4&lt;='2. Inputs'!$E$14),'3. Dev Costs'!$F$49/'2. Inputs'!$E$12,0)</f>
        <v>0</v>
      </c>
      <c r="AU11" s="18">
        <f>IF(AND(AU$4&gt;'2. Inputs'!$E$11,AU$4&lt;='2. Inputs'!$E$14),'3. Dev Costs'!$F$49/'2. Inputs'!$E$12,0)</f>
        <v>0</v>
      </c>
      <c r="AV11" s="18">
        <f>IF(AND(AV$4&gt;'2. Inputs'!$E$11,AV$4&lt;='2. Inputs'!$E$14),'3. Dev Costs'!$F$49/'2. Inputs'!$E$12,0)</f>
        <v>0</v>
      </c>
      <c r="AW11" s="18">
        <f>IF(AND(AW$4&gt;'2. Inputs'!$E$11,AW$4&lt;='2. Inputs'!$E$14),'3. Dev Costs'!$F$49/'2. Inputs'!$E$12,0)</f>
        <v>0</v>
      </c>
      <c r="AX11" s="18">
        <f>IF(AND(AX$4&gt;'2. Inputs'!$E$11,AX$4&lt;='2. Inputs'!$E$14),'3. Dev Costs'!$F$49/'2. Inputs'!$E$12,0)</f>
        <v>0</v>
      </c>
      <c r="AY11" s="18">
        <f>IF(AND(AY$4&gt;'2. Inputs'!$E$11,AY$4&lt;='2. Inputs'!$E$14),'3. Dev Costs'!$F$49/'2. Inputs'!$E$12,0)</f>
        <v>0</v>
      </c>
      <c r="AZ11" s="18">
        <f>IF(AND(AZ$4&gt;'2. Inputs'!$E$11,AZ$4&lt;='2. Inputs'!$E$14),'3. Dev Costs'!$F$49/'2. Inputs'!$E$12,0)</f>
        <v>0</v>
      </c>
    </row>
    <row r="12" spans="2:52" x14ac:dyDescent="0.35">
      <c r="B12" s="7" t="s">
        <v>29</v>
      </c>
      <c r="C12" s="20">
        <f t="shared" si="0"/>
        <v>38400</v>
      </c>
      <c r="E12" s="18">
        <f>IF(AND(E$4&gt;'2. Inputs'!$E$11,E$4&lt;='2. Inputs'!$E$14),'3. Dev Costs'!$F$58/'2. Inputs'!$E$12,0)</f>
        <v>0</v>
      </c>
      <c r="F12" s="18">
        <f>IF(AND(F$4&gt;'2. Inputs'!$E$11,F$4&lt;='2. Inputs'!$E$14),'3. Dev Costs'!$F$58/'2. Inputs'!$E$12,0)</f>
        <v>0</v>
      </c>
      <c r="G12" s="18">
        <f>IF(AND(G$4&gt;'2. Inputs'!$E$11,G$4&lt;='2. Inputs'!$E$14),'3. Dev Costs'!$F$58/'2. Inputs'!$E$12,0)</f>
        <v>0</v>
      </c>
      <c r="H12" s="18">
        <f>IF(AND(H$4&gt;'2. Inputs'!$E$11,H$4&lt;='2. Inputs'!$E$14),'3. Dev Costs'!$F$58/'2. Inputs'!$E$12,0)</f>
        <v>3200</v>
      </c>
      <c r="I12" s="18">
        <f>IF(AND(I$4&gt;'2. Inputs'!$E$11,I$4&lt;='2. Inputs'!$E$14),'3. Dev Costs'!$F$58/'2. Inputs'!$E$12,0)</f>
        <v>3200</v>
      </c>
      <c r="J12" s="18">
        <f>IF(AND(J$4&gt;'2. Inputs'!$E$11,J$4&lt;='2. Inputs'!$E$14),'3. Dev Costs'!$F$58/'2. Inputs'!$E$12,0)</f>
        <v>3200</v>
      </c>
      <c r="K12" s="18">
        <f>IF(AND(K$4&gt;'2. Inputs'!$E$11,K$4&lt;='2. Inputs'!$E$14),'3. Dev Costs'!$F$58/'2. Inputs'!$E$12,0)</f>
        <v>3200</v>
      </c>
      <c r="L12" s="18">
        <f>IF(AND(L$4&gt;'2. Inputs'!$E$11,L$4&lt;='2. Inputs'!$E$14),'3. Dev Costs'!$F$58/'2. Inputs'!$E$12,0)</f>
        <v>3200</v>
      </c>
      <c r="M12" s="18">
        <f>IF(AND(M$4&gt;'2. Inputs'!$E$11,M$4&lt;='2. Inputs'!$E$14),'3. Dev Costs'!$F$58/'2. Inputs'!$E$12,0)</f>
        <v>3200</v>
      </c>
      <c r="N12" s="18">
        <f>IF(AND(N$4&gt;'2. Inputs'!$E$11,N$4&lt;='2. Inputs'!$E$14),'3. Dev Costs'!$F$58/'2. Inputs'!$E$12,0)</f>
        <v>3200</v>
      </c>
      <c r="O12" s="18">
        <f>IF(AND(O$4&gt;'2. Inputs'!$E$11,O$4&lt;='2. Inputs'!$E$14),'3. Dev Costs'!$F$58/'2. Inputs'!$E$12,0)</f>
        <v>3200</v>
      </c>
      <c r="P12" s="18">
        <f>IF(AND(P$4&gt;'2. Inputs'!$E$11,P$4&lt;='2. Inputs'!$E$14),'3. Dev Costs'!$F$58/'2. Inputs'!$E$12,0)</f>
        <v>3200</v>
      </c>
      <c r="Q12" s="18">
        <f>IF(AND(Q$4&gt;'2. Inputs'!$E$11,Q$4&lt;='2. Inputs'!$E$14),'3. Dev Costs'!$F$58/'2. Inputs'!$E$12,0)</f>
        <v>3200</v>
      </c>
      <c r="R12" s="18">
        <f>IF(AND(R$4&gt;'2. Inputs'!$E$11,R$4&lt;='2. Inputs'!$E$14),'3. Dev Costs'!$F$58/'2. Inputs'!$E$12,0)</f>
        <v>3200</v>
      </c>
      <c r="S12" s="18">
        <f>IF(AND(S$4&gt;'2. Inputs'!$E$11,S$4&lt;='2. Inputs'!$E$14),'3. Dev Costs'!$F$58/'2. Inputs'!$E$12,0)</f>
        <v>3200</v>
      </c>
      <c r="T12" s="18">
        <f>IF(AND(T$4&gt;'2. Inputs'!$E$11,T$4&lt;='2. Inputs'!$E$14),'3. Dev Costs'!$F$58/'2. Inputs'!$E$12,0)</f>
        <v>0</v>
      </c>
      <c r="U12" s="18">
        <f>IF(AND(U$4&gt;'2. Inputs'!$E$11,U$4&lt;='2. Inputs'!$E$14),'3. Dev Costs'!$F$58/'2. Inputs'!$E$12,0)</f>
        <v>0</v>
      </c>
      <c r="V12" s="18">
        <f>IF(AND(V$4&gt;'2. Inputs'!$E$11,V$4&lt;='2. Inputs'!$E$14),'3. Dev Costs'!$F$58/'2. Inputs'!$E$12,0)</f>
        <v>0</v>
      </c>
      <c r="W12" s="18">
        <f>IF(AND(W$4&gt;'2. Inputs'!$E$11,W$4&lt;='2. Inputs'!$E$14),'3. Dev Costs'!$F$58/'2. Inputs'!$E$12,0)</f>
        <v>0</v>
      </c>
      <c r="X12" s="18">
        <f>IF(AND(X$4&gt;'2. Inputs'!$E$11,X$4&lt;='2. Inputs'!$E$14),'3. Dev Costs'!$F$58/'2. Inputs'!$E$12,0)</f>
        <v>0</v>
      </c>
      <c r="Y12" s="18">
        <f>IF(AND(Y$4&gt;'2. Inputs'!$E$11,Y$4&lt;='2. Inputs'!$E$14),'3. Dev Costs'!$F$58/'2. Inputs'!$E$12,0)</f>
        <v>0</v>
      </c>
      <c r="Z12" s="18">
        <f>IF(AND(Z$4&gt;'2. Inputs'!$E$11,Z$4&lt;='2. Inputs'!$E$14),'3. Dev Costs'!$F$58/'2. Inputs'!$E$12,0)</f>
        <v>0</v>
      </c>
      <c r="AA12" s="18">
        <f>IF(AND(AA$4&gt;'2. Inputs'!$E$11,AA$4&lt;='2. Inputs'!$E$14),'3. Dev Costs'!$F$58/'2. Inputs'!$E$12,0)</f>
        <v>0</v>
      </c>
      <c r="AB12" s="18">
        <f>IF(AND(AB$4&gt;'2. Inputs'!$E$11,AB$4&lt;='2. Inputs'!$E$14),'3. Dev Costs'!$F$58/'2. Inputs'!$E$12,0)</f>
        <v>0</v>
      </c>
      <c r="AC12" s="18">
        <f>IF(AND(AC$4&gt;'2. Inputs'!$E$11,AC$4&lt;='2. Inputs'!$E$14),'3. Dev Costs'!$F$58/'2. Inputs'!$E$12,0)</f>
        <v>0</v>
      </c>
      <c r="AD12" s="18">
        <f>IF(AND(AD$4&gt;'2. Inputs'!$E$11,AD$4&lt;='2. Inputs'!$E$14),'3. Dev Costs'!$F$58/'2. Inputs'!$E$12,0)</f>
        <v>0</v>
      </c>
      <c r="AE12" s="18">
        <f>IF(AND(AE$4&gt;'2. Inputs'!$E$11,AE$4&lt;='2. Inputs'!$E$14),'3. Dev Costs'!$F$58/'2. Inputs'!$E$12,0)</f>
        <v>0</v>
      </c>
      <c r="AF12" s="18">
        <f>IF(AND(AF$4&gt;'2. Inputs'!$E$11,AF$4&lt;='2. Inputs'!$E$14),'3. Dev Costs'!$F$58/'2. Inputs'!$E$12,0)</f>
        <v>0</v>
      </c>
      <c r="AG12" s="18">
        <f>IF(AND(AG$4&gt;'2. Inputs'!$E$11,AG$4&lt;='2. Inputs'!$E$14),'3. Dev Costs'!$F$58/'2. Inputs'!$E$12,0)</f>
        <v>0</v>
      </c>
      <c r="AH12" s="18">
        <f>IF(AND(AH$4&gt;'2. Inputs'!$E$11,AH$4&lt;='2. Inputs'!$E$14),'3. Dev Costs'!$F$58/'2. Inputs'!$E$12,0)</f>
        <v>0</v>
      </c>
      <c r="AI12" s="18">
        <f>IF(AND(AI$4&gt;'2. Inputs'!$E$11,AI$4&lt;='2. Inputs'!$E$14),'3. Dev Costs'!$F$58/'2. Inputs'!$E$12,0)</f>
        <v>0</v>
      </c>
      <c r="AJ12" s="18">
        <f>IF(AND(AJ$4&gt;'2. Inputs'!$E$11,AJ$4&lt;='2. Inputs'!$E$14),'3. Dev Costs'!$F$58/'2. Inputs'!$E$12,0)</f>
        <v>0</v>
      </c>
      <c r="AK12" s="18">
        <f>IF(AND(AK$4&gt;'2. Inputs'!$E$11,AK$4&lt;='2. Inputs'!$E$14),'3. Dev Costs'!$F$58/'2. Inputs'!$E$12,0)</f>
        <v>0</v>
      </c>
      <c r="AL12" s="18">
        <f>IF(AND(AL$4&gt;'2. Inputs'!$E$11,AL$4&lt;='2. Inputs'!$E$14),'3. Dev Costs'!$F$58/'2. Inputs'!$E$12,0)</f>
        <v>0</v>
      </c>
      <c r="AM12" s="18">
        <f>IF(AND(AM$4&gt;'2. Inputs'!$E$11,AM$4&lt;='2. Inputs'!$E$14),'3. Dev Costs'!$F$58/'2. Inputs'!$E$12,0)</f>
        <v>0</v>
      </c>
      <c r="AN12" s="18">
        <f>IF(AND(AN$4&gt;'2. Inputs'!$E$11,AN$4&lt;='2. Inputs'!$E$14),'3. Dev Costs'!$F$58/'2. Inputs'!$E$12,0)</f>
        <v>0</v>
      </c>
      <c r="AO12" s="18">
        <f>IF(AND(AO$4&gt;'2. Inputs'!$E$11,AO$4&lt;='2. Inputs'!$E$14),'3. Dev Costs'!$F$58/'2. Inputs'!$E$12,0)</f>
        <v>0</v>
      </c>
      <c r="AP12" s="18">
        <f>IF(AND(AP$4&gt;'2. Inputs'!$E$11,AP$4&lt;='2. Inputs'!$E$14),'3. Dev Costs'!$F$58/'2. Inputs'!$E$12,0)</f>
        <v>0</v>
      </c>
      <c r="AQ12" s="18">
        <f>IF(AND(AQ$4&gt;'2. Inputs'!$E$11,AQ$4&lt;='2. Inputs'!$E$14),'3. Dev Costs'!$F$58/'2. Inputs'!$E$12,0)</f>
        <v>0</v>
      </c>
      <c r="AR12" s="18">
        <f>IF(AND(AR$4&gt;'2. Inputs'!$E$11,AR$4&lt;='2. Inputs'!$E$14),'3. Dev Costs'!$F$58/'2. Inputs'!$E$12,0)</f>
        <v>0</v>
      </c>
      <c r="AS12" s="18">
        <f>IF(AND(AS$4&gt;'2. Inputs'!$E$11,AS$4&lt;='2. Inputs'!$E$14),'3. Dev Costs'!$F$58/'2. Inputs'!$E$12,0)</f>
        <v>0</v>
      </c>
      <c r="AT12" s="18">
        <f>IF(AND(AT$4&gt;'2. Inputs'!$E$11,AT$4&lt;='2. Inputs'!$E$14),'3. Dev Costs'!$F$58/'2. Inputs'!$E$12,0)</f>
        <v>0</v>
      </c>
      <c r="AU12" s="18">
        <f>IF(AND(AU$4&gt;'2. Inputs'!$E$11,AU$4&lt;='2. Inputs'!$E$14),'3. Dev Costs'!$F$58/'2. Inputs'!$E$12,0)</f>
        <v>0</v>
      </c>
      <c r="AV12" s="18">
        <f>IF(AND(AV$4&gt;'2. Inputs'!$E$11,AV$4&lt;='2. Inputs'!$E$14),'3. Dev Costs'!$F$58/'2. Inputs'!$E$12,0)</f>
        <v>0</v>
      </c>
      <c r="AW12" s="18">
        <f>IF(AND(AW$4&gt;'2. Inputs'!$E$11,AW$4&lt;='2. Inputs'!$E$14),'3. Dev Costs'!$F$58/'2. Inputs'!$E$12,0)</f>
        <v>0</v>
      </c>
      <c r="AX12" s="18">
        <f>IF(AND(AX$4&gt;'2. Inputs'!$E$11,AX$4&lt;='2. Inputs'!$E$14),'3. Dev Costs'!$F$58/'2. Inputs'!$E$12,0)</f>
        <v>0</v>
      </c>
      <c r="AY12" s="18">
        <f>IF(AND(AY$4&gt;'2. Inputs'!$E$11,AY$4&lt;='2. Inputs'!$E$14),'3. Dev Costs'!$F$58/'2. Inputs'!$E$12,0)</f>
        <v>0</v>
      </c>
      <c r="AZ12" s="18">
        <f>IF(AND(AZ$4&gt;'2. Inputs'!$E$11,AZ$4&lt;='2. Inputs'!$E$14),'3. Dev Costs'!$F$58/'2. Inputs'!$E$12,0)</f>
        <v>0</v>
      </c>
    </row>
    <row r="13" spans="2:52" x14ac:dyDescent="0.35">
      <c r="B13" s="7" t="s">
        <v>30</v>
      </c>
      <c r="C13" s="20">
        <f t="shared" si="0"/>
        <v>13550</v>
      </c>
      <c r="E13" s="18">
        <f>IF(E$4='2. Inputs'!$E$14,'3. Dev Costs'!$F$65,0)</f>
        <v>0</v>
      </c>
      <c r="F13" s="18">
        <f>IF(F$4='2. Inputs'!$E$14,'3. Dev Costs'!$F$65,0)</f>
        <v>0</v>
      </c>
      <c r="G13" s="18">
        <f>IF(G$4='2. Inputs'!$E$14,'3. Dev Costs'!$F$65,0)</f>
        <v>0</v>
      </c>
      <c r="H13" s="18">
        <f>IF(H$4='2. Inputs'!$E$14,'3. Dev Costs'!$F$65,0)</f>
        <v>0</v>
      </c>
      <c r="I13" s="18">
        <f>IF(I$4='2. Inputs'!$E$14,'3. Dev Costs'!$F$65,0)</f>
        <v>0</v>
      </c>
      <c r="J13" s="18">
        <f>IF(J$4='2. Inputs'!$E$14,'3. Dev Costs'!$F$65,0)</f>
        <v>0</v>
      </c>
      <c r="K13" s="18">
        <f>IF(K$4='2. Inputs'!$E$14,'3. Dev Costs'!$F$65,0)</f>
        <v>0</v>
      </c>
      <c r="L13" s="18">
        <f>IF(L$4='2. Inputs'!$E$14,'3. Dev Costs'!$F$65,0)</f>
        <v>0</v>
      </c>
      <c r="M13" s="18">
        <f>IF(M$4='2. Inputs'!$E$14,'3. Dev Costs'!$F$65,0)</f>
        <v>0</v>
      </c>
      <c r="N13" s="18">
        <f>IF(N$4='2. Inputs'!$E$14,'3. Dev Costs'!$F$65,0)</f>
        <v>0</v>
      </c>
      <c r="O13" s="18">
        <f>IF(O$4='2. Inputs'!$E$14,'3. Dev Costs'!$F$65,0)</f>
        <v>0</v>
      </c>
      <c r="P13" s="18">
        <f>IF(P$4='2. Inputs'!$E$14,'3. Dev Costs'!$F$65,0)</f>
        <v>0</v>
      </c>
      <c r="Q13" s="18">
        <f>IF(Q$4='2. Inputs'!$E$14,'3. Dev Costs'!$F$65,0)</f>
        <v>0</v>
      </c>
      <c r="R13" s="18">
        <f>IF(R$4='2. Inputs'!$E$14,'3. Dev Costs'!$F$65,0)</f>
        <v>0</v>
      </c>
      <c r="S13" s="18">
        <f>IF(S$4='2. Inputs'!$E$14,'3. Dev Costs'!$F$65,0)</f>
        <v>13550</v>
      </c>
      <c r="T13" s="18">
        <f>IF(T$4='2. Inputs'!$E$14,'3. Dev Costs'!$F$65,0)</f>
        <v>0</v>
      </c>
      <c r="U13" s="18">
        <f>IF(U$4='2. Inputs'!$E$14,'3. Dev Costs'!$F$65,0)</f>
        <v>0</v>
      </c>
      <c r="V13" s="18">
        <f>IF(V$4='2. Inputs'!$E$14,'3. Dev Costs'!$F$65,0)</f>
        <v>0</v>
      </c>
      <c r="W13" s="18">
        <f>IF(W$4='2. Inputs'!$E$14,'3. Dev Costs'!$F$65,0)</f>
        <v>0</v>
      </c>
      <c r="X13" s="18">
        <f>IF(X$4='2. Inputs'!$E$14,'3. Dev Costs'!$F$65,0)</f>
        <v>0</v>
      </c>
      <c r="Y13" s="18">
        <f>IF(Y$4='2. Inputs'!$E$14,'3. Dev Costs'!$F$65,0)</f>
        <v>0</v>
      </c>
      <c r="Z13" s="18">
        <f>IF(Z$4='2. Inputs'!$E$14,'3. Dev Costs'!$F$65,0)</f>
        <v>0</v>
      </c>
      <c r="AA13" s="18">
        <f>IF(AA$4='2. Inputs'!$E$14,'3. Dev Costs'!$F$65,0)</f>
        <v>0</v>
      </c>
      <c r="AB13" s="18">
        <f>IF(AB$4='2. Inputs'!$E$14,'3. Dev Costs'!$F$65,0)</f>
        <v>0</v>
      </c>
      <c r="AC13" s="18">
        <f>IF(AC$4='2. Inputs'!$E$14,'3. Dev Costs'!$F$65,0)</f>
        <v>0</v>
      </c>
      <c r="AD13" s="18">
        <f>IF(AD$4='2. Inputs'!$E$14,'3. Dev Costs'!$F$65,0)</f>
        <v>0</v>
      </c>
      <c r="AE13" s="18">
        <f>IF(AE$4='2. Inputs'!$E$14,'3. Dev Costs'!$F$65,0)</f>
        <v>0</v>
      </c>
      <c r="AF13" s="18">
        <f>IF(AF$4='2. Inputs'!$E$14,'3. Dev Costs'!$F$65,0)</f>
        <v>0</v>
      </c>
      <c r="AG13" s="18">
        <f>IF(AG$4='2. Inputs'!$E$14,'3. Dev Costs'!$F$65,0)</f>
        <v>0</v>
      </c>
      <c r="AH13" s="18">
        <f>IF(AH$4='2. Inputs'!$E$14,'3. Dev Costs'!$F$65,0)</f>
        <v>0</v>
      </c>
      <c r="AI13" s="18">
        <f>IF(AI$4='2. Inputs'!$E$14,'3. Dev Costs'!$F$65,0)</f>
        <v>0</v>
      </c>
      <c r="AJ13" s="18">
        <f>IF(AJ$4='2. Inputs'!$E$14,'3. Dev Costs'!$F$65,0)</f>
        <v>0</v>
      </c>
      <c r="AK13" s="18">
        <f>IF(AK$4='2. Inputs'!$E$14,'3. Dev Costs'!$F$65,0)</f>
        <v>0</v>
      </c>
      <c r="AL13" s="18">
        <f>IF(AL$4='2. Inputs'!$E$14,'3. Dev Costs'!$F$65,0)</f>
        <v>0</v>
      </c>
      <c r="AM13" s="18">
        <f>IF(AM$4='2. Inputs'!$E$14,'3. Dev Costs'!$F$65,0)</f>
        <v>0</v>
      </c>
      <c r="AN13" s="18">
        <f>IF(AN$4='2. Inputs'!$E$14,'3. Dev Costs'!$F$65,0)</f>
        <v>0</v>
      </c>
      <c r="AO13" s="18">
        <f>IF(AO$4='2. Inputs'!$E$14,'3. Dev Costs'!$F$65,0)</f>
        <v>0</v>
      </c>
      <c r="AP13" s="18">
        <f>IF(AP$4='2. Inputs'!$E$14,'3. Dev Costs'!$F$65,0)</f>
        <v>0</v>
      </c>
      <c r="AQ13" s="18">
        <f>IF(AQ$4='2. Inputs'!$E$14,'3. Dev Costs'!$F$65,0)</f>
        <v>0</v>
      </c>
      <c r="AR13" s="18">
        <f>IF(AR$4='2. Inputs'!$E$14,'3. Dev Costs'!$F$65,0)</f>
        <v>0</v>
      </c>
      <c r="AS13" s="18">
        <f>IF(AS$4='2. Inputs'!$E$14,'3. Dev Costs'!$F$65,0)</f>
        <v>0</v>
      </c>
      <c r="AT13" s="18">
        <f>IF(AT$4='2. Inputs'!$E$14,'3. Dev Costs'!$F$65,0)</f>
        <v>0</v>
      </c>
      <c r="AU13" s="18">
        <f>IF(AU$4='2. Inputs'!$E$14,'3. Dev Costs'!$F$65,0)</f>
        <v>0</v>
      </c>
      <c r="AV13" s="18">
        <f>IF(AV$4='2. Inputs'!$E$14,'3. Dev Costs'!$F$65,0)</f>
        <v>0</v>
      </c>
      <c r="AW13" s="18">
        <f>IF(AW$4='2. Inputs'!$E$14,'3. Dev Costs'!$F$65,0)</f>
        <v>0</v>
      </c>
      <c r="AX13" s="18">
        <f>IF(AX$4='2. Inputs'!$E$14,'3. Dev Costs'!$F$65,0)</f>
        <v>0</v>
      </c>
      <c r="AY13" s="18">
        <f>IF(AY$4='2. Inputs'!$E$14,'3. Dev Costs'!$F$65,0)</f>
        <v>0</v>
      </c>
      <c r="AZ13" s="18">
        <f>IF(AZ$4='2. Inputs'!$E$14,'3. Dev Costs'!$F$65,0)</f>
        <v>0</v>
      </c>
    </row>
    <row r="14" spans="2:52" x14ac:dyDescent="0.35">
      <c r="B14" s="7" t="s">
        <v>32</v>
      </c>
      <c r="C14" s="20">
        <f t="shared" si="0"/>
        <v>143723.43008000002</v>
      </c>
      <c r="E14" s="18">
        <f>IF(E$4='2. Inputs'!$E$14,'3. Dev Costs'!$F$74,0)</f>
        <v>0</v>
      </c>
      <c r="F14" s="18">
        <f>IF(F$4='2. Inputs'!$E$14,'3. Dev Costs'!$F$74,0)</f>
        <v>0</v>
      </c>
      <c r="G14" s="18">
        <f>IF(G$4='2. Inputs'!$E$14,'3. Dev Costs'!$F$74,0)</f>
        <v>0</v>
      </c>
      <c r="H14" s="18">
        <f>IF(H$4='2. Inputs'!$E$14,'3. Dev Costs'!$F$74,0)</f>
        <v>0</v>
      </c>
      <c r="I14" s="18">
        <f>IF(I$4='2. Inputs'!$E$14,'3. Dev Costs'!$F$74,0)</f>
        <v>0</v>
      </c>
      <c r="J14" s="18">
        <f>IF(J$4='2. Inputs'!$E$14,'3. Dev Costs'!$F$74,0)</f>
        <v>0</v>
      </c>
      <c r="K14" s="18">
        <f>IF(K$4='2. Inputs'!$E$14,'3. Dev Costs'!$F$74,0)</f>
        <v>0</v>
      </c>
      <c r="L14" s="18">
        <f>IF(L$4='2. Inputs'!$E$14,'3. Dev Costs'!$F$74,0)</f>
        <v>0</v>
      </c>
      <c r="M14" s="18">
        <f>IF(M$4='2. Inputs'!$E$14,'3. Dev Costs'!$F$74,0)</f>
        <v>0</v>
      </c>
      <c r="N14" s="18">
        <f>IF(N$4='2. Inputs'!$E$14,'3. Dev Costs'!$F$74,0)</f>
        <v>0</v>
      </c>
      <c r="O14" s="18">
        <f>IF(O$4='2. Inputs'!$E$14,'3. Dev Costs'!$F$74,0)</f>
        <v>0</v>
      </c>
      <c r="P14" s="18">
        <f>IF(P$4='2. Inputs'!$E$14,'3. Dev Costs'!$F$74,0)</f>
        <v>0</v>
      </c>
      <c r="Q14" s="18">
        <f>IF(Q$4='2. Inputs'!$E$14,'3. Dev Costs'!$F$74,0)</f>
        <v>0</v>
      </c>
      <c r="R14" s="18">
        <f>IF(R$4='2. Inputs'!$E$14,'3. Dev Costs'!$F$74,0)</f>
        <v>0</v>
      </c>
      <c r="S14" s="18">
        <f>IF(S$4='2. Inputs'!$E$14,'3. Dev Costs'!$F$74,0)</f>
        <v>143723.43008000002</v>
      </c>
      <c r="T14" s="18">
        <f>IF(T$4='2. Inputs'!$E$14,'3. Dev Costs'!$F$74,0)</f>
        <v>0</v>
      </c>
      <c r="U14" s="18">
        <f>IF(U$4='2. Inputs'!$E$14,'3. Dev Costs'!$F$74,0)</f>
        <v>0</v>
      </c>
      <c r="V14" s="18">
        <f>IF(V$4='2. Inputs'!$E$14,'3. Dev Costs'!$F$74,0)</f>
        <v>0</v>
      </c>
      <c r="W14" s="18">
        <f>IF(W$4='2. Inputs'!$E$14,'3. Dev Costs'!$F$74,0)</f>
        <v>0</v>
      </c>
      <c r="X14" s="18">
        <f>IF(X$4='2. Inputs'!$E$14,'3. Dev Costs'!$F$74,0)</f>
        <v>0</v>
      </c>
      <c r="Y14" s="18">
        <f>IF(Y$4='2. Inputs'!$E$14,'3. Dev Costs'!$F$74,0)</f>
        <v>0</v>
      </c>
      <c r="Z14" s="18">
        <f>IF(Z$4='2. Inputs'!$E$14,'3. Dev Costs'!$F$74,0)</f>
        <v>0</v>
      </c>
      <c r="AA14" s="18">
        <f>IF(AA$4='2. Inputs'!$E$14,'3. Dev Costs'!$F$74,0)</f>
        <v>0</v>
      </c>
      <c r="AB14" s="18">
        <f>IF(AB$4='2. Inputs'!$E$14,'3. Dev Costs'!$F$74,0)</f>
        <v>0</v>
      </c>
      <c r="AC14" s="18">
        <f>IF(AC$4='2. Inputs'!$E$14,'3. Dev Costs'!$F$74,0)</f>
        <v>0</v>
      </c>
      <c r="AD14" s="18">
        <f>IF(AD$4='2. Inputs'!$E$14,'3. Dev Costs'!$F$74,0)</f>
        <v>0</v>
      </c>
      <c r="AE14" s="18">
        <f>IF(AE$4='2. Inputs'!$E$14,'3. Dev Costs'!$F$74,0)</f>
        <v>0</v>
      </c>
      <c r="AF14" s="18">
        <f>IF(AF$4='2. Inputs'!$E$14,'3. Dev Costs'!$F$74,0)</f>
        <v>0</v>
      </c>
      <c r="AG14" s="18">
        <f>IF(AG$4='2. Inputs'!$E$14,'3. Dev Costs'!$F$74,0)</f>
        <v>0</v>
      </c>
      <c r="AH14" s="18">
        <f>IF(AH$4='2. Inputs'!$E$14,'3. Dev Costs'!$F$74,0)</f>
        <v>0</v>
      </c>
      <c r="AI14" s="18">
        <f>IF(AI$4='2. Inputs'!$E$14,'3. Dev Costs'!$F$74,0)</f>
        <v>0</v>
      </c>
      <c r="AJ14" s="18">
        <f>IF(AJ$4='2. Inputs'!$E$14,'3. Dev Costs'!$F$74,0)</f>
        <v>0</v>
      </c>
      <c r="AK14" s="18">
        <f>IF(AK$4='2. Inputs'!$E$14,'3. Dev Costs'!$F$74,0)</f>
        <v>0</v>
      </c>
      <c r="AL14" s="18">
        <f>IF(AL$4='2. Inputs'!$E$14,'3. Dev Costs'!$F$74,0)</f>
        <v>0</v>
      </c>
      <c r="AM14" s="18">
        <f>IF(AM$4='2. Inputs'!$E$14,'3. Dev Costs'!$F$74,0)</f>
        <v>0</v>
      </c>
      <c r="AN14" s="18">
        <f>IF(AN$4='2. Inputs'!$E$14,'3. Dev Costs'!$F$74,0)</f>
        <v>0</v>
      </c>
      <c r="AO14" s="18">
        <f>IF(AO$4='2. Inputs'!$E$14,'3. Dev Costs'!$F$74,0)</f>
        <v>0</v>
      </c>
      <c r="AP14" s="18">
        <f>IF(AP$4='2. Inputs'!$E$14,'3. Dev Costs'!$F$74,0)</f>
        <v>0</v>
      </c>
      <c r="AQ14" s="18">
        <f>IF(AQ$4='2. Inputs'!$E$14,'3. Dev Costs'!$F$74,0)</f>
        <v>0</v>
      </c>
      <c r="AR14" s="18">
        <f>IF(AR$4='2. Inputs'!$E$14,'3. Dev Costs'!$F$74,0)</f>
        <v>0</v>
      </c>
      <c r="AS14" s="18">
        <f>IF(AS$4='2. Inputs'!$E$14,'3. Dev Costs'!$F$74,0)</f>
        <v>0</v>
      </c>
      <c r="AT14" s="18">
        <f>IF(AT$4='2. Inputs'!$E$14,'3. Dev Costs'!$F$74,0)</f>
        <v>0</v>
      </c>
      <c r="AU14" s="18">
        <f>IF(AU$4='2. Inputs'!$E$14,'3. Dev Costs'!$F$74,0)</f>
        <v>0</v>
      </c>
      <c r="AV14" s="18">
        <f>IF(AV$4='2. Inputs'!$E$14,'3. Dev Costs'!$F$74,0)</f>
        <v>0</v>
      </c>
      <c r="AW14" s="18">
        <f>IF(AW$4='2. Inputs'!$E$14,'3. Dev Costs'!$F$74,0)</f>
        <v>0</v>
      </c>
      <c r="AX14" s="18">
        <f>IF(AX$4='2. Inputs'!$E$14,'3. Dev Costs'!$F$74,0)</f>
        <v>0</v>
      </c>
      <c r="AY14" s="18">
        <f>IF(AY$4='2. Inputs'!$E$14,'3. Dev Costs'!$F$74,0)</f>
        <v>0</v>
      </c>
      <c r="AZ14" s="18">
        <f>IF(AZ$4='2. Inputs'!$E$14,'3. Dev Costs'!$F$74,0)</f>
        <v>0</v>
      </c>
    </row>
    <row r="15" spans="2:52" x14ac:dyDescent="0.35">
      <c r="B15" s="7" t="s">
        <v>34</v>
      </c>
      <c r="C15" s="20">
        <f t="shared" si="0"/>
        <v>20660</v>
      </c>
      <c r="E15" s="18">
        <f>IF(E$4&lt;='2. Inputs'!$E$14,'3. Dev Costs'!$F$85/'2. Inputs'!$E$14,0)</f>
        <v>1377.3333333333333</v>
      </c>
      <c r="F15" s="18">
        <f>IF(F$4&lt;='2. Inputs'!$E$14,'3. Dev Costs'!$F$85/'2. Inputs'!$E$14,0)</f>
        <v>1377.3333333333333</v>
      </c>
      <c r="G15" s="18">
        <f>IF(G$4&lt;='2. Inputs'!$E$14,'3. Dev Costs'!$F$85/'2. Inputs'!$E$14,0)</f>
        <v>1377.3333333333333</v>
      </c>
      <c r="H15" s="18">
        <f>IF(H$4&lt;='2. Inputs'!$E$14,'3. Dev Costs'!$F$85/'2. Inputs'!$E$14,0)</f>
        <v>1377.3333333333333</v>
      </c>
      <c r="I15" s="18">
        <f>IF(I$4&lt;='2. Inputs'!$E$14,'3. Dev Costs'!$F$85/'2. Inputs'!$E$14,0)</f>
        <v>1377.3333333333333</v>
      </c>
      <c r="J15" s="18">
        <f>IF(J$4&lt;='2. Inputs'!$E$14,'3. Dev Costs'!$F$85/'2. Inputs'!$E$14,0)</f>
        <v>1377.3333333333333</v>
      </c>
      <c r="K15" s="18">
        <f>IF(K$4&lt;='2. Inputs'!$E$14,'3. Dev Costs'!$F$85/'2. Inputs'!$E$14,0)</f>
        <v>1377.3333333333333</v>
      </c>
      <c r="L15" s="18">
        <f>IF(L$4&lt;='2. Inputs'!$E$14,'3. Dev Costs'!$F$85/'2. Inputs'!$E$14,0)</f>
        <v>1377.3333333333333</v>
      </c>
      <c r="M15" s="18">
        <f>IF(M$4&lt;='2. Inputs'!$E$14,'3. Dev Costs'!$F$85/'2. Inputs'!$E$14,0)</f>
        <v>1377.3333333333333</v>
      </c>
      <c r="N15" s="18">
        <f>IF(N$4&lt;='2. Inputs'!$E$14,'3. Dev Costs'!$F$85/'2. Inputs'!$E$14,0)</f>
        <v>1377.3333333333333</v>
      </c>
      <c r="O15" s="18">
        <f>IF(O$4&lt;='2. Inputs'!$E$14,'3. Dev Costs'!$F$85/'2. Inputs'!$E$14,0)</f>
        <v>1377.3333333333333</v>
      </c>
      <c r="P15" s="18">
        <f>IF(P$4&lt;='2. Inputs'!$E$14,'3. Dev Costs'!$F$85/'2. Inputs'!$E$14,0)</f>
        <v>1377.3333333333333</v>
      </c>
      <c r="Q15" s="18">
        <f>IF(Q$4&lt;='2. Inputs'!$E$14,'3. Dev Costs'!$F$85/'2. Inputs'!$E$14,0)</f>
        <v>1377.3333333333333</v>
      </c>
      <c r="R15" s="18">
        <f>IF(R$4&lt;='2. Inputs'!$E$14,'3. Dev Costs'!$F$85/'2. Inputs'!$E$14,0)</f>
        <v>1377.3333333333333</v>
      </c>
      <c r="S15" s="18">
        <f>IF(S$4&lt;='2. Inputs'!$E$14,'3. Dev Costs'!$F$85/'2. Inputs'!$E$14,0)</f>
        <v>1377.3333333333333</v>
      </c>
      <c r="T15" s="18">
        <f>IF(T$4&lt;='2. Inputs'!$E$14,'3. Dev Costs'!$F$85/'2. Inputs'!$E$14,0)</f>
        <v>0</v>
      </c>
      <c r="U15" s="18">
        <f>IF(U$4&lt;='2. Inputs'!$E$14,'3. Dev Costs'!$F$85/'2. Inputs'!$E$14,0)</f>
        <v>0</v>
      </c>
      <c r="V15" s="18">
        <f>IF(V$4&lt;='2. Inputs'!$E$14,'3. Dev Costs'!$F$85/'2. Inputs'!$E$14,0)</f>
        <v>0</v>
      </c>
      <c r="W15" s="18">
        <f>IF(W$4&lt;='2. Inputs'!$E$14,'3. Dev Costs'!$F$85/'2. Inputs'!$E$14,0)</f>
        <v>0</v>
      </c>
      <c r="X15" s="18">
        <f>IF(X$4&lt;='2. Inputs'!$E$14,'3. Dev Costs'!$F$85/'2. Inputs'!$E$14,0)</f>
        <v>0</v>
      </c>
      <c r="Y15" s="18">
        <f>IF(Y$4&lt;='2. Inputs'!$E$14,'3. Dev Costs'!$F$85/'2. Inputs'!$E$14,0)</f>
        <v>0</v>
      </c>
      <c r="Z15" s="18">
        <f>IF(Z$4&lt;='2. Inputs'!$E$14,'3. Dev Costs'!$F$85/'2. Inputs'!$E$14,0)</f>
        <v>0</v>
      </c>
      <c r="AA15" s="18">
        <f>IF(AA$4&lt;='2. Inputs'!$E$14,'3. Dev Costs'!$F$85/'2. Inputs'!$E$14,0)</f>
        <v>0</v>
      </c>
      <c r="AB15" s="18">
        <f>IF(AB$4&lt;='2. Inputs'!$E$14,'3. Dev Costs'!$F$85/'2. Inputs'!$E$14,0)</f>
        <v>0</v>
      </c>
      <c r="AC15" s="18">
        <f>IF(AC$4&lt;='2. Inputs'!$E$14,'3. Dev Costs'!$F$85/'2. Inputs'!$E$14,0)</f>
        <v>0</v>
      </c>
      <c r="AD15" s="18">
        <f>IF(AD$4&lt;='2. Inputs'!$E$14,'3. Dev Costs'!$F$85/'2. Inputs'!$E$14,0)</f>
        <v>0</v>
      </c>
      <c r="AE15" s="18">
        <f>IF(AE$4&lt;='2. Inputs'!$E$14,'3. Dev Costs'!$F$85/'2. Inputs'!$E$14,0)</f>
        <v>0</v>
      </c>
      <c r="AF15" s="18">
        <f>IF(AF$4&lt;='2. Inputs'!$E$14,'3. Dev Costs'!$F$85/'2. Inputs'!$E$14,0)</f>
        <v>0</v>
      </c>
      <c r="AG15" s="18">
        <f>IF(AG$4&lt;='2. Inputs'!$E$14,'3. Dev Costs'!$F$85/'2. Inputs'!$E$14,0)</f>
        <v>0</v>
      </c>
      <c r="AH15" s="18">
        <f>IF(AH$4&lt;='2. Inputs'!$E$14,'3. Dev Costs'!$F$85/'2. Inputs'!$E$14,0)</f>
        <v>0</v>
      </c>
      <c r="AI15" s="18">
        <f>IF(AI$4&lt;='2. Inputs'!$E$14,'3. Dev Costs'!$F$85/'2. Inputs'!$E$14,0)</f>
        <v>0</v>
      </c>
      <c r="AJ15" s="18">
        <f>IF(AJ$4&lt;='2. Inputs'!$E$14,'3. Dev Costs'!$F$85/'2. Inputs'!$E$14,0)</f>
        <v>0</v>
      </c>
      <c r="AK15" s="18">
        <f>IF(AK$4&lt;='2. Inputs'!$E$14,'3. Dev Costs'!$F$85/'2. Inputs'!$E$14,0)</f>
        <v>0</v>
      </c>
      <c r="AL15" s="18">
        <f>IF(AL$4&lt;='2. Inputs'!$E$14,'3. Dev Costs'!$F$85/'2. Inputs'!$E$14,0)</f>
        <v>0</v>
      </c>
      <c r="AM15" s="18">
        <f>IF(AM$4&lt;='2. Inputs'!$E$14,'3. Dev Costs'!$F$85/'2. Inputs'!$E$14,0)</f>
        <v>0</v>
      </c>
      <c r="AN15" s="18">
        <f>IF(AN$4&lt;='2. Inputs'!$E$14,'3. Dev Costs'!$F$85/'2. Inputs'!$E$14,0)</f>
        <v>0</v>
      </c>
      <c r="AO15" s="18">
        <f>IF(AO$4&lt;='2. Inputs'!$E$14,'3. Dev Costs'!$F$85/'2. Inputs'!$E$14,0)</f>
        <v>0</v>
      </c>
      <c r="AP15" s="18">
        <f>IF(AP$4&lt;='2. Inputs'!$E$14,'3. Dev Costs'!$F$85/'2. Inputs'!$E$14,0)</f>
        <v>0</v>
      </c>
      <c r="AQ15" s="18">
        <f>IF(AQ$4&lt;='2. Inputs'!$E$14,'3. Dev Costs'!$F$85/'2. Inputs'!$E$14,0)</f>
        <v>0</v>
      </c>
      <c r="AR15" s="18">
        <f>IF(AR$4&lt;='2. Inputs'!$E$14,'3. Dev Costs'!$F$85/'2. Inputs'!$E$14,0)</f>
        <v>0</v>
      </c>
      <c r="AS15" s="18">
        <f>IF(AS$4&lt;='2. Inputs'!$E$14,'3. Dev Costs'!$F$85/'2. Inputs'!$E$14,0)</f>
        <v>0</v>
      </c>
      <c r="AT15" s="18">
        <f>IF(AT$4&lt;='2. Inputs'!$E$14,'3. Dev Costs'!$F$85/'2. Inputs'!$E$14,0)</f>
        <v>0</v>
      </c>
      <c r="AU15" s="18">
        <f>IF(AU$4&lt;='2. Inputs'!$E$14,'3. Dev Costs'!$F$85/'2. Inputs'!$E$14,0)</f>
        <v>0</v>
      </c>
      <c r="AV15" s="18">
        <f>IF(AV$4&lt;='2. Inputs'!$E$14,'3. Dev Costs'!$F$85/'2. Inputs'!$E$14,0)</f>
        <v>0</v>
      </c>
      <c r="AW15" s="18">
        <f>IF(AW$4&lt;='2. Inputs'!$E$14,'3. Dev Costs'!$F$85/'2. Inputs'!$E$14,0)</f>
        <v>0</v>
      </c>
      <c r="AX15" s="18">
        <f>IF(AX$4&lt;='2. Inputs'!$E$14,'3. Dev Costs'!$F$85/'2. Inputs'!$E$14,0)</f>
        <v>0</v>
      </c>
      <c r="AY15" s="18">
        <f>IF(AY$4&lt;='2. Inputs'!$E$14,'3. Dev Costs'!$F$85/'2. Inputs'!$E$14,0)</f>
        <v>0</v>
      </c>
      <c r="AZ15" s="18">
        <f>IF(AZ$4&lt;='2. Inputs'!$E$14,'3. Dev Costs'!$F$85/'2. Inputs'!$E$14,0)</f>
        <v>0</v>
      </c>
    </row>
    <row r="16" spans="2:52" x14ac:dyDescent="0.35">
      <c r="B16" s="13" t="s">
        <v>249</v>
      </c>
      <c r="C16" s="20">
        <f t="shared" si="0"/>
        <v>5116063.8650800018</v>
      </c>
      <c r="E16" s="20">
        <f t="shared" ref="E16:AZ16" si="1">SUM(E8:E15)</f>
        <v>2067102.3333333333</v>
      </c>
      <c r="F16" s="20">
        <f t="shared" si="1"/>
        <v>117102.33333333333</v>
      </c>
      <c r="G16" s="20">
        <f t="shared" si="1"/>
        <v>51477.333333333336</v>
      </c>
      <c r="H16" s="20">
        <f t="shared" si="1"/>
        <v>226925.70291666669</v>
      </c>
      <c r="I16" s="20">
        <f t="shared" si="1"/>
        <v>226925.70291666669</v>
      </c>
      <c r="J16" s="20">
        <f t="shared" si="1"/>
        <v>226925.70291666669</v>
      </c>
      <c r="K16" s="20">
        <f t="shared" si="1"/>
        <v>226925.70291666669</v>
      </c>
      <c r="L16" s="20">
        <f t="shared" si="1"/>
        <v>226925.70291666669</v>
      </c>
      <c r="M16" s="20">
        <f t="shared" si="1"/>
        <v>226925.70291666669</v>
      </c>
      <c r="N16" s="20">
        <f t="shared" si="1"/>
        <v>226925.70291666669</v>
      </c>
      <c r="O16" s="20">
        <f t="shared" si="1"/>
        <v>226925.70291666669</v>
      </c>
      <c r="P16" s="20">
        <f t="shared" si="1"/>
        <v>226925.70291666669</v>
      </c>
      <c r="Q16" s="20">
        <f t="shared" si="1"/>
        <v>226925.70291666669</v>
      </c>
      <c r="R16" s="20">
        <f t="shared" si="1"/>
        <v>226925.70291666669</v>
      </c>
      <c r="S16" s="20">
        <f t="shared" si="1"/>
        <v>384199.13299666665</v>
      </c>
      <c r="T16" s="20">
        <f t="shared" si="1"/>
        <v>0</v>
      </c>
      <c r="U16" s="20">
        <f t="shared" si="1"/>
        <v>0</v>
      </c>
      <c r="V16" s="20">
        <f t="shared" si="1"/>
        <v>0</v>
      </c>
      <c r="W16" s="20">
        <f t="shared" si="1"/>
        <v>0</v>
      </c>
      <c r="X16" s="20">
        <f t="shared" si="1"/>
        <v>0</v>
      </c>
      <c r="Y16" s="20">
        <f t="shared" si="1"/>
        <v>0</v>
      </c>
      <c r="Z16" s="20">
        <f t="shared" si="1"/>
        <v>0</v>
      </c>
      <c r="AA16" s="20">
        <f t="shared" si="1"/>
        <v>0</v>
      </c>
      <c r="AB16" s="20">
        <f t="shared" si="1"/>
        <v>0</v>
      </c>
      <c r="AC16" s="20">
        <f t="shared" si="1"/>
        <v>0</v>
      </c>
      <c r="AD16" s="20">
        <f t="shared" si="1"/>
        <v>0</v>
      </c>
      <c r="AE16" s="20">
        <f t="shared" si="1"/>
        <v>0</v>
      </c>
      <c r="AF16" s="20">
        <f t="shared" si="1"/>
        <v>0</v>
      </c>
      <c r="AG16" s="20">
        <f t="shared" si="1"/>
        <v>0</v>
      </c>
      <c r="AH16" s="20">
        <f t="shared" si="1"/>
        <v>0</v>
      </c>
      <c r="AI16" s="20">
        <f t="shared" si="1"/>
        <v>0</v>
      </c>
      <c r="AJ16" s="20">
        <f t="shared" si="1"/>
        <v>0</v>
      </c>
      <c r="AK16" s="20">
        <f t="shared" si="1"/>
        <v>0</v>
      </c>
      <c r="AL16" s="20">
        <f t="shared" si="1"/>
        <v>0</v>
      </c>
      <c r="AM16" s="20">
        <f t="shared" si="1"/>
        <v>0</v>
      </c>
      <c r="AN16" s="20">
        <f t="shared" si="1"/>
        <v>0</v>
      </c>
      <c r="AO16" s="20">
        <f t="shared" si="1"/>
        <v>0</v>
      </c>
      <c r="AP16" s="20">
        <f t="shared" si="1"/>
        <v>0</v>
      </c>
      <c r="AQ16" s="20">
        <f t="shared" si="1"/>
        <v>0</v>
      </c>
      <c r="AR16" s="20">
        <f t="shared" si="1"/>
        <v>0</v>
      </c>
      <c r="AS16" s="20">
        <f t="shared" si="1"/>
        <v>0</v>
      </c>
      <c r="AT16" s="20">
        <f t="shared" si="1"/>
        <v>0</v>
      </c>
      <c r="AU16" s="20">
        <f t="shared" si="1"/>
        <v>0</v>
      </c>
      <c r="AV16" s="20">
        <f t="shared" si="1"/>
        <v>0</v>
      </c>
      <c r="AW16" s="20">
        <f t="shared" si="1"/>
        <v>0</v>
      </c>
      <c r="AX16" s="20">
        <f t="shared" si="1"/>
        <v>0</v>
      </c>
      <c r="AY16" s="20">
        <f t="shared" si="1"/>
        <v>0</v>
      </c>
      <c r="AZ16" s="20">
        <f t="shared" si="1"/>
        <v>0</v>
      </c>
    </row>
    <row r="17" spans="2:52" x14ac:dyDescent="0.35">
      <c r="B17" s="7" t="s">
        <v>250</v>
      </c>
      <c r="E17" s="18">
        <f>0+E16</f>
        <v>2067102.3333333333</v>
      </c>
      <c r="F17" s="18">
        <f t="shared" ref="F17:AZ17" si="2">E17+F16</f>
        <v>2184204.6666666665</v>
      </c>
      <c r="G17" s="18">
        <f t="shared" si="2"/>
        <v>2235682</v>
      </c>
      <c r="H17" s="18">
        <f t="shared" si="2"/>
        <v>2462607.7029166669</v>
      </c>
      <c r="I17" s="18">
        <f t="shared" si="2"/>
        <v>2689533.4058333337</v>
      </c>
      <c r="J17" s="18">
        <f t="shared" si="2"/>
        <v>2916459.1087500006</v>
      </c>
      <c r="K17" s="18">
        <f t="shared" si="2"/>
        <v>3143384.8116666675</v>
      </c>
      <c r="L17" s="18">
        <f t="shared" si="2"/>
        <v>3370310.5145833343</v>
      </c>
      <c r="M17" s="18">
        <f t="shared" si="2"/>
        <v>3597236.2175000012</v>
      </c>
      <c r="N17" s="18">
        <f t="shared" si="2"/>
        <v>3824161.9204166681</v>
      </c>
      <c r="O17" s="18">
        <f t="shared" si="2"/>
        <v>4051087.6233333349</v>
      </c>
      <c r="P17" s="18">
        <f t="shared" si="2"/>
        <v>4278013.3262500018</v>
      </c>
      <c r="Q17" s="18">
        <f t="shared" si="2"/>
        <v>4504939.0291666687</v>
      </c>
      <c r="R17" s="18">
        <f t="shared" si="2"/>
        <v>4731864.7320833355</v>
      </c>
      <c r="S17" s="18">
        <f t="shared" si="2"/>
        <v>5116063.8650800018</v>
      </c>
      <c r="T17" s="18">
        <f t="shared" si="2"/>
        <v>5116063.8650800018</v>
      </c>
      <c r="U17" s="18">
        <f t="shared" si="2"/>
        <v>5116063.8650800018</v>
      </c>
      <c r="V17" s="18">
        <f t="shared" si="2"/>
        <v>5116063.8650800018</v>
      </c>
      <c r="W17" s="18">
        <f t="shared" si="2"/>
        <v>5116063.8650800018</v>
      </c>
      <c r="X17" s="18">
        <f t="shared" si="2"/>
        <v>5116063.8650800018</v>
      </c>
      <c r="Y17" s="18">
        <f t="shared" si="2"/>
        <v>5116063.8650800018</v>
      </c>
      <c r="Z17" s="18">
        <f t="shared" si="2"/>
        <v>5116063.8650800018</v>
      </c>
      <c r="AA17" s="18">
        <f t="shared" si="2"/>
        <v>5116063.8650800018</v>
      </c>
      <c r="AB17" s="18">
        <f t="shared" si="2"/>
        <v>5116063.8650800018</v>
      </c>
      <c r="AC17" s="18">
        <f t="shared" si="2"/>
        <v>5116063.8650800018</v>
      </c>
      <c r="AD17" s="18">
        <f t="shared" si="2"/>
        <v>5116063.8650800018</v>
      </c>
      <c r="AE17" s="18">
        <f t="shared" si="2"/>
        <v>5116063.8650800018</v>
      </c>
      <c r="AF17" s="18">
        <f t="shared" si="2"/>
        <v>5116063.8650800018</v>
      </c>
      <c r="AG17" s="18">
        <f t="shared" si="2"/>
        <v>5116063.8650800018</v>
      </c>
      <c r="AH17" s="18">
        <f t="shared" si="2"/>
        <v>5116063.8650800018</v>
      </c>
      <c r="AI17" s="18">
        <f t="shared" si="2"/>
        <v>5116063.8650800018</v>
      </c>
      <c r="AJ17" s="18">
        <f t="shared" si="2"/>
        <v>5116063.8650800018</v>
      </c>
      <c r="AK17" s="18">
        <f t="shared" si="2"/>
        <v>5116063.8650800018</v>
      </c>
      <c r="AL17" s="18">
        <f t="shared" si="2"/>
        <v>5116063.8650800018</v>
      </c>
      <c r="AM17" s="18">
        <f t="shared" si="2"/>
        <v>5116063.8650800018</v>
      </c>
      <c r="AN17" s="18">
        <f t="shared" si="2"/>
        <v>5116063.8650800018</v>
      </c>
      <c r="AO17" s="18">
        <f t="shared" si="2"/>
        <v>5116063.8650800018</v>
      </c>
      <c r="AP17" s="18">
        <f t="shared" si="2"/>
        <v>5116063.8650800018</v>
      </c>
      <c r="AQ17" s="18">
        <f t="shared" si="2"/>
        <v>5116063.8650800018</v>
      </c>
      <c r="AR17" s="18">
        <f t="shared" si="2"/>
        <v>5116063.8650800018</v>
      </c>
      <c r="AS17" s="18">
        <f t="shared" si="2"/>
        <v>5116063.8650800018</v>
      </c>
      <c r="AT17" s="18">
        <f t="shared" si="2"/>
        <v>5116063.8650800018</v>
      </c>
      <c r="AU17" s="18">
        <f t="shared" si="2"/>
        <v>5116063.8650800018</v>
      </c>
      <c r="AV17" s="18">
        <f t="shared" si="2"/>
        <v>5116063.8650800018</v>
      </c>
      <c r="AW17" s="18">
        <f t="shared" si="2"/>
        <v>5116063.8650800018</v>
      </c>
      <c r="AX17" s="18">
        <f t="shared" si="2"/>
        <v>5116063.8650800018</v>
      </c>
      <c r="AY17" s="18">
        <f t="shared" si="2"/>
        <v>5116063.8650800018</v>
      </c>
      <c r="AZ17" s="18">
        <f t="shared" si="2"/>
        <v>5116063.8650800018</v>
      </c>
    </row>
    <row r="19" spans="2:52" x14ac:dyDescent="0.35">
      <c r="B19" s="3" t="s">
        <v>336</v>
      </c>
      <c r="C19" s="3"/>
      <c r="D19" s="3"/>
    </row>
    <row r="20" spans="2:52" x14ac:dyDescent="0.35">
      <c r="B20" s="7" t="s">
        <v>251</v>
      </c>
      <c r="E20" s="18">
        <f>IF(E$4=1,'2. Inputs'!$E$21,0)</f>
        <v>1267500</v>
      </c>
      <c r="F20" s="18">
        <f>IF(F$4=1,'2. Inputs'!$E$21,0)</f>
        <v>0</v>
      </c>
      <c r="G20" s="18">
        <f>IF(G$4=1,'2. Inputs'!$E$21,0)</f>
        <v>0</v>
      </c>
      <c r="H20" s="18">
        <f>IF(H$4=1,'2. Inputs'!$E$21,0)</f>
        <v>0</v>
      </c>
      <c r="I20" s="18">
        <f>IF(I$4=1,'2. Inputs'!$E$21,0)</f>
        <v>0</v>
      </c>
      <c r="J20" s="18">
        <f>IF(J$4=1,'2. Inputs'!$E$21,0)</f>
        <v>0</v>
      </c>
      <c r="K20" s="18">
        <f>IF(K$4=1,'2. Inputs'!$E$21,0)</f>
        <v>0</v>
      </c>
      <c r="L20" s="18">
        <f>IF(L$4=1,'2. Inputs'!$E$21,0)</f>
        <v>0</v>
      </c>
      <c r="M20" s="18">
        <f>IF(M$4=1,'2. Inputs'!$E$21,0)</f>
        <v>0</v>
      </c>
      <c r="N20" s="18">
        <f>IF(N$4=1,'2. Inputs'!$E$21,0)</f>
        <v>0</v>
      </c>
      <c r="O20" s="18">
        <f>IF(O$4=1,'2. Inputs'!$E$21,0)</f>
        <v>0</v>
      </c>
      <c r="P20" s="18">
        <f>IF(P$4=1,'2. Inputs'!$E$21,0)</f>
        <v>0</v>
      </c>
      <c r="Q20" s="18">
        <f>IF(Q$4=1,'2. Inputs'!$E$21,0)</f>
        <v>0</v>
      </c>
      <c r="R20" s="18">
        <f>IF(R$4=1,'2. Inputs'!$E$21,0)</f>
        <v>0</v>
      </c>
      <c r="S20" s="18">
        <f>IF(S$4=1,'2. Inputs'!$E$21,0)</f>
        <v>0</v>
      </c>
      <c r="T20" s="18">
        <f>IF(T$4=1,'2. Inputs'!$E$21,0)</f>
        <v>0</v>
      </c>
      <c r="U20" s="18">
        <f>IF(U$4=1,'2. Inputs'!$E$21,0)</f>
        <v>0</v>
      </c>
      <c r="V20" s="18">
        <f>IF(V$4=1,'2. Inputs'!$E$21,0)</f>
        <v>0</v>
      </c>
      <c r="W20" s="18">
        <f>IF(W$4=1,'2. Inputs'!$E$21,0)</f>
        <v>0</v>
      </c>
      <c r="X20" s="18">
        <f>IF(X$4=1,'2. Inputs'!$E$21,0)</f>
        <v>0</v>
      </c>
      <c r="Y20" s="18">
        <f>IF(Y$4=1,'2. Inputs'!$E$21,0)</f>
        <v>0</v>
      </c>
      <c r="Z20" s="18">
        <f>IF(Z$4=1,'2. Inputs'!$E$21,0)</f>
        <v>0</v>
      </c>
      <c r="AA20" s="18">
        <f>IF(AA$4=1,'2. Inputs'!$E$21,0)</f>
        <v>0</v>
      </c>
      <c r="AB20" s="18">
        <f>IF(AB$4=1,'2. Inputs'!$E$21,0)</f>
        <v>0</v>
      </c>
      <c r="AC20" s="18">
        <f>IF(AC$4=1,'2. Inputs'!$E$21,0)</f>
        <v>0</v>
      </c>
      <c r="AD20" s="18">
        <f>IF(AD$4=1,'2. Inputs'!$E$21,0)</f>
        <v>0</v>
      </c>
      <c r="AE20" s="18">
        <f>IF(AE$4=1,'2. Inputs'!$E$21,0)</f>
        <v>0</v>
      </c>
      <c r="AF20" s="18">
        <f>IF(AF$4=1,'2. Inputs'!$E$21,0)</f>
        <v>0</v>
      </c>
      <c r="AG20" s="18">
        <f>IF(AG$4=1,'2. Inputs'!$E$21,0)</f>
        <v>0</v>
      </c>
      <c r="AH20" s="18">
        <f>IF(AH$4=1,'2. Inputs'!$E$21,0)</f>
        <v>0</v>
      </c>
      <c r="AI20" s="18">
        <f>IF(AI$4=1,'2. Inputs'!$E$21,0)</f>
        <v>0</v>
      </c>
      <c r="AJ20" s="18">
        <f>IF(AJ$4=1,'2. Inputs'!$E$21,0)</f>
        <v>0</v>
      </c>
      <c r="AK20" s="18">
        <f>IF(AK$4=1,'2. Inputs'!$E$21,0)</f>
        <v>0</v>
      </c>
      <c r="AL20" s="18">
        <f>IF(AL$4=1,'2. Inputs'!$E$21,0)</f>
        <v>0</v>
      </c>
      <c r="AM20" s="18">
        <f>IF(AM$4=1,'2. Inputs'!$E$21,0)</f>
        <v>0</v>
      </c>
      <c r="AN20" s="18">
        <f>IF(AN$4=1,'2. Inputs'!$E$21,0)</f>
        <v>0</v>
      </c>
      <c r="AO20" s="18">
        <f>IF(AO$4=1,'2. Inputs'!$E$21,0)</f>
        <v>0</v>
      </c>
      <c r="AP20" s="18">
        <f>IF(AP$4=1,'2. Inputs'!$E$21,0)</f>
        <v>0</v>
      </c>
      <c r="AQ20" s="18">
        <f>IF(AQ$4=1,'2. Inputs'!$E$21,0)</f>
        <v>0</v>
      </c>
      <c r="AR20" s="18">
        <f>IF(AR$4=1,'2. Inputs'!$E$21,0)</f>
        <v>0</v>
      </c>
      <c r="AS20" s="18">
        <f>IF(AS$4=1,'2. Inputs'!$E$21,0)</f>
        <v>0</v>
      </c>
      <c r="AT20" s="18">
        <f>IF(AT$4=1,'2. Inputs'!$E$21,0)</f>
        <v>0</v>
      </c>
      <c r="AU20" s="18">
        <f>IF(AU$4=1,'2. Inputs'!$E$21,0)</f>
        <v>0</v>
      </c>
      <c r="AV20" s="18">
        <f>IF(AV$4=1,'2. Inputs'!$E$21,0)</f>
        <v>0</v>
      </c>
      <c r="AW20" s="18">
        <f>IF(AW$4=1,'2. Inputs'!$E$21,0)</f>
        <v>0</v>
      </c>
      <c r="AX20" s="18">
        <f>IF(AX$4=1,'2. Inputs'!$E$21,0)</f>
        <v>0</v>
      </c>
      <c r="AY20" s="18">
        <f>IF(AY$4=1,'2. Inputs'!$E$21,0)</f>
        <v>0</v>
      </c>
      <c r="AZ20" s="18">
        <f>IF(AZ$4=1,'2. Inputs'!$E$21,0)</f>
        <v>0</v>
      </c>
    </row>
    <row r="21" spans="2:52" x14ac:dyDescent="0.35">
      <c r="B21" s="7" t="s">
        <v>252</v>
      </c>
      <c r="E21" s="18">
        <f>'2. Inputs'!$E$21*(1+'2. Inputs'!$E$19)*'2. Inputs'!$E$18/12</f>
        <v>10773.75</v>
      </c>
      <c r="F21" s="18">
        <f>IF(F$4&lt;='2. Inputs'!$E$11,E22*'2. Inputs'!$E$18/12,0)</f>
        <v>10863.53125</v>
      </c>
      <c r="G21" s="18">
        <f>IF(G$4&lt;='2. Inputs'!$E$11,F22*'2. Inputs'!$E$18/12,0)</f>
        <v>10954.060677083333</v>
      </c>
      <c r="H21" s="18">
        <f>IF(H$4&lt;='2. Inputs'!$E$11,G22*'2. Inputs'!$E$18/12,0)</f>
        <v>0</v>
      </c>
      <c r="I21" s="18">
        <f>IF(I$4&lt;='2. Inputs'!$E$11,H22*'2. Inputs'!$E$18/12,0)</f>
        <v>0</v>
      </c>
      <c r="J21" s="18">
        <f>IF(J$4&lt;='2. Inputs'!$E$11,I22*'2. Inputs'!$E$18/12,0)</f>
        <v>0</v>
      </c>
      <c r="K21" s="18">
        <f>IF(K$4&lt;='2. Inputs'!$E$11,J22*'2. Inputs'!$E$18/12,0)</f>
        <v>0</v>
      </c>
      <c r="L21" s="18">
        <f>IF(L$4&lt;='2. Inputs'!$E$11,K22*'2. Inputs'!$E$18/12,0)</f>
        <v>0</v>
      </c>
      <c r="M21" s="18">
        <f>IF(M$4&lt;='2. Inputs'!$E$11,L22*'2. Inputs'!$E$18/12,0)</f>
        <v>0</v>
      </c>
      <c r="N21" s="18">
        <f>IF(N$4&lt;='2. Inputs'!$E$11,M22*'2. Inputs'!$E$18/12,0)</f>
        <v>0</v>
      </c>
      <c r="O21" s="18">
        <f>IF(O$4&lt;='2. Inputs'!$E$11,N22*'2. Inputs'!$E$18/12,0)</f>
        <v>0</v>
      </c>
      <c r="P21" s="18">
        <f>IF(P$4&lt;='2. Inputs'!$E$11,O22*'2. Inputs'!$E$18/12,0)</f>
        <v>0</v>
      </c>
      <c r="Q21" s="18">
        <f>IF(Q$4&lt;='2. Inputs'!$E$11,P22*'2. Inputs'!$E$18/12,0)</f>
        <v>0</v>
      </c>
      <c r="R21" s="18">
        <f>IF(R$4&lt;='2. Inputs'!$E$11,Q22*'2. Inputs'!$E$18/12,0)</f>
        <v>0</v>
      </c>
      <c r="S21" s="18">
        <f>IF(S$4&lt;='2. Inputs'!$E$11,R22*'2. Inputs'!$E$18/12,0)</f>
        <v>0</v>
      </c>
      <c r="T21" s="18">
        <f>IF(T$4&lt;='2. Inputs'!$E$11,S22*'2. Inputs'!$E$18/12,0)</f>
        <v>0</v>
      </c>
      <c r="U21" s="18">
        <f>IF(U$4&lt;='2. Inputs'!$E$11,T22*'2. Inputs'!$E$18/12,0)</f>
        <v>0</v>
      </c>
      <c r="V21" s="18">
        <f>IF(V$4&lt;='2. Inputs'!$E$11,U22*'2. Inputs'!$E$18/12,0)</f>
        <v>0</v>
      </c>
      <c r="W21" s="18">
        <f>IF(W$4&lt;='2. Inputs'!$E$11,V22*'2. Inputs'!$E$18/12,0)</f>
        <v>0</v>
      </c>
      <c r="X21" s="18">
        <f>IF(X$4&lt;='2. Inputs'!$E$11,W22*'2. Inputs'!$E$18/12,0)</f>
        <v>0</v>
      </c>
      <c r="Y21" s="18">
        <f>IF(Y$4&lt;='2. Inputs'!$E$11,X22*'2. Inputs'!$E$18/12,0)</f>
        <v>0</v>
      </c>
      <c r="Z21" s="18">
        <f>IF(Z$4&lt;='2. Inputs'!$E$11,Y22*'2. Inputs'!$E$18/12,0)</f>
        <v>0</v>
      </c>
      <c r="AA21" s="18">
        <f>IF(AA$4&lt;='2. Inputs'!$E$11,Z22*'2. Inputs'!$E$18/12,0)</f>
        <v>0</v>
      </c>
      <c r="AB21" s="18">
        <f>IF(AB$4&lt;='2. Inputs'!$E$11,AA22*'2. Inputs'!$E$18/12,0)</f>
        <v>0</v>
      </c>
      <c r="AC21" s="18">
        <f>IF(AC$4&lt;='2. Inputs'!$E$11,AB22*'2. Inputs'!$E$18/12,0)</f>
        <v>0</v>
      </c>
      <c r="AD21" s="18">
        <f>IF(AD$4&lt;='2. Inputs'!$E$11,AC22*'2. Inputs'!$E$18/12,0)</f>
        <v>0</v>
      </c>
      <c r="AE21" s="18">
        <f>IF(AE$4&lt;='2. Inputs'!$E$11,AD22*'2. Inputs'!$E$18/12,0)</f>
        <v>0</v>
      </c>
      <c r="AF21" s="18">
        <f>IF(AF$4&lt;='2. Inputs'!$E$11,AE22*'2. Inputs'!$E$18/12,0)</f>
        <v>0</v>
      </c>
      <c r="AG21" s="18">
        <f>IF(AG$4&lt;='2. Inputs'!$E$11,AF22*'2. Inputs'!$E$18/12,0)</f>
        <v>0</v>
      </c>
      <c r="AH21" s="18">
        <f>IF(AH$4&lt;='2. Inputs'!$E$11,AG22*'2. Inputs'!$E$18/12,0)</f>
        <v>0</v>
      </c>
      <c r="AI21" s="18">
        <f>IF(AI$4&lt;='2. Inputs'!$E$11,AH22*'2. Inputs'!$E$18/12,0)</f>
        <v>0</v>
      </c>
      <c r="AJ21" s="18">
        <f>IF(AJ$4&lt;='2. Inputs'!$E$11,AI22*'2. Inputs'!$E$18/12,0)</f>
        <v>0</v>
      </c>
      <c r="AK21" s="18">
        <f>IF(AK$4&lt;='2. Inputs'!$E$11,AJ22*'2. Inputs'!$E$18/12,0)</f>
        <v>0</v>
      </c>
      <c r="AL21" s="18">
        <f>IF(AL$4&lt;='2. Inputs'!$E$11,AK22*'2. Inputs'!$E$18/12,0)</f>
        <v>0</v>
      </c>
      <c r="AM21" s="18">
        <f>IF(AM$4&lt;='2. Inputs'!$E$11,AL22*'2. Inputs'!$E$18/12,0)</f>
        <v>0</v>
      </c>
      <c r="AN21" s="18">
        <f>IF(AN$4&lt;='2. Inputs'!$E$11,AM22*'2. Inputs'!$E$18/12,0)</f>
        <v>0</v>
      </c>
      <c r="AO21" s="18">
        <f>IF(AO$4&lt;='2. Inputs'!$E$11,AN22*'2. Inputs'!$E$18/12,0)</f>
        <v>0</v>
      </c>
      <c r="AP21" s="18">
        <f>IF(AP$4&lt;='2. Inputs'!$E$11,AO22*'2. Inputs'!$E$18/12,0)</f>
        <v>0</v>
      </c>
      <c r="AQ21" s="18">
        <f>IF(AQ$4&lt;='2. Inputs'!$E$11,AP22*'2. Inputs'!$E$18/12,0)</f>
        <v>0</v>
      </c>
      <c r="AR21" s="18">
        <f>IF(AR$4&lt;='2. Inputs'!$E$11,AQ22*'2. Inputs'!$E$18/12,0)</f>
        <v>0</v>
      </c>
      <c r="AS21" s="18">
        <f>IF(AS$4&lt;='2. Inputs'!$E$11,AR22*'2. Inputs'!$E$18/12,0)</f>
        <v>0</v>
      </c>
      <c r="AT21" s="18">
        <f>IF(AT$4&lt;='2. Inputs'!$E$11,AS22*'2. Inputs'!$E$18/12,0)</f>
        <v>0</v>
      </c>
      <c r="AU21" s="18">
        <f>IF(AU$4&lt;='2. Inputs'!$E$11,AT22*'2. Inputs'!$E$18/12,0)</f>
        <v>0</v>
      </c>
      <c r="AV21" s="18">
        <f>IF(AV$4&lt;='2. Inputs'!$E$11,AU22*'2. Inputs'!$E$18/12,0)</f>
        <v>0</v>
      </c>
      <c r="AW21" s="18">
        <f>IF(AW$4&lt;='2. Inputs'!$E$11,AV22*'2. Inputs'!$E$18/12,0)</f>
        <v>0</v>
      </c>
      <c r="AX21" s="18">
        <f>IF(AX$4&lt;='2. Inputs'!$E$11,AW22*'2. Inputs'!$E$18/12,0)</f>
        <v>0</v>
      </c>
      <c r="AY21" s="18">
        <f>IF(AY$4&lt;='2. Inputs'!$E$11,AX22*'2. Inputs'!$E$18/12,0)</f>
        <v>0</v>
      </c>
      <c r="AZ21" s="18">
        <f>IF(AZ$4&lt;='2. Inputs'!$E$11,AY22*'2. Inputs'!$E$18/12,0)</f>
        <v>0</v>
      </c>
    </row>
    <row r="22" spans="2:52" x14ac:dyDescent="0.35">
      <c r="B22" s="7" t="s">
        <v>253</v>
      </c>
      <c r="E22" s="18">
        <f>'2. Inputs'!$E$21*(1+'2. Inputs'!$E$19)+E21</f>
        <v>1303623.75</v>
      </c>
      <c r="F22" s="18">
        <f>IF(F$4&lt;='2. Inputs'!$E$11,E22+F21,0)</f>
        <v>1314487.28125</v>
      </c>
      <c r="G22" s="18">
        <f>IF(G$4&lt;='2. Inputs'!$E$11,F22+G21,0)</f>
        <v>1325441.3419270834</v>
      </c>
      <c r="H22" s="18">
        <f>IF(H$4&lt;='2. Inputs'!$E$11,G22+H21,0)</f>
        <v>0</v>
      </c>
      <c r="I22" s="18">
        <f>IF(I$4&lt;='2. Inputs'!$E$11,H22+I21,0)</f>
        <v>0</v>
      </c>
      <c r="J22" s="18">
        <f>IF(J$4&lt;='2. Inputs'!$E$11,I22+J21,0)</f>
        <v>0</v>
      </c>
      <c r="K22" s="18">
        <f>IF(K$4&lt;='2. Inputs'!$E$11,J22+K21,0)</f>
        <v>0</v>
      </c>
      <c r="L22" s="18">
        <f>IF(L$4&lt;='2. Inputs'!$E$11,K22+L21,0)</f>
        <v>0</v>
      </c>
      <c r="M22" s="18">
        <f>IF(M$4&lt;='2. Inputs'!$E$11,L22+M21,0)</f>
        <v>0</v>
      </c>
      <c r="N22" s="18">
        <f>IF(N$4&lt;='2. Inputs'!$E$11,M22+N21,0)</f>
        <v>0</v>
      </c>
      <c r="O22" s="18">
        <f>IF(O$4&lt;='2. Inputs'!$E$11,N22+O21,0)</f>
        <v>0</v>
      </c>
      <c r="P22" s="18">
        <f>IF(P$4&lt;='2. Inputs'!$E$11,O22+P21,0)</f>
        <v>0</v>
      </c>
      <c r="Q22" s="18">
        <f>IF(Q$4&lt;='2. Inputs'!$E$11,P22+Q21,0)</f>
        <v>0</v>
      </c>
      <c r="R22" s="18">
        <f>IF(R$4&lt;='2. Inputs'!$E$11,Q22+R21,0)</f>
        <v>0</v>
      </c>
      <c r="S22" s="18">
        <f>IF(S$4&lt;='2. Inputs'!$E$11,R22+S21,0)</f>
        <v>0</v>
      </c>
      <c r="T22" s="18">
        <f>IF(T$4&lt;='2. Inputs'!$E$11,S22+T21,0)</f>
        <v>0</v>
      </c>
      <c r="U22" s="18">
        <f>IF(U$4&lt;='2. Inputs'!$E$11,T22+U21,0)</f>
        <v>0</v>
      </c>
      <c r="V22" s="18">
        <f>IF(V$4&lt;='2. Inputs'!$E$11,U22+V21,0)</f>
        <v>0</v>
      </c>
      <c r="W22" s="18">
        <f>IF(W$4&lt;='2. Inputs'!$E$11,V22+W21,0)</f>
        <v>0</v>
      </c>
      <c r="X22" s="18">
        <f>IF(X$4&lt;='2. Inputs'!$E$11,W22+X21,0)</f>
        <v>0</v>
      </c>
      <c r="Y22" s="18">
        <f>IF(Y$4&lt;='2. Inputs'!$E$11,X22+Y21,0)</f>
        <v>0</v>
      </c>
      <c r="Z22" s="18">
        <f>IF(Z$4&lt;='2. Inputs'!$E$11,Y22+Z21,0)</f>
        <v>0</v>
      </c>
      <c r="AA22" s="18">
        <f>IF(AA$4&lt;='2. Inputs'!$E$11,Z22+AA21,0)</f>
        <v>0</v>
      </c>
      <c r="AB22" s="18">
        <f>IF(AB$4&lt;='2. Inputs'!$E$11,AA22+AB21,0)</f>
        <v>0</v>
      </c>
      <c r="AC22" s="18">
        <f>IF(AC$4&lt;='2. Inputs'!$E$11,AB22+AC21,0)</f>
        <v>0</v>
      </c>
      <c r="AD22" s="18">
        <f>IF(AD$4&lt;='2. Inputs'!$E$11,AC22+AD21,0)</f>
        <v>0</v>
      </c>
      <c r="AE22" s="18">
        <f>IF(AE$4&lt;='2. Inputs'!$E$11,AD22+AE21,0)</f>
        <v>0</v>
      </c>
      <c r="AF22" s="18">
        <f>IF(AF$4&lt;='2. Inputs'!$E$11,AE22+AF21,0)</f>
        <v>0</v>
      </c>
      <c r="AG22" s="18">
        <f>IF(AG$4&lt;='2. Inputs'!$E$11,AF22+AG21,0)</f>
        <v>0</v>
      </c>
      <c r="AH22" s="18">
        <f>IF(AH$4&lt;='2. Inputs'!$E$11,AG22+AH21,0)</f>
        <v>0</v>
      </c>
      <c r="AI22" s="18">
        <f>IF(AI$4&lt;='2. Inputs'!$E$11,AH22+AI21,0)</f>
        <v>0</v>
      </c>
      <c r="AJ22" s="18">
        <f>IF(AJ$4&lt;='2. Inputs'!$E$11,AI22+AJ21,0)</f>
        <v>0</v>
      </c>
      <c r="AK22" s="18">
        <f>IF(AK$4&lt;='2. Inputs'!$E$11,AJ22+AK21,0)</f>
        <v>0</v>
      </c>
      <c r="AL22" s="18">
        <f>IF(AL$4&lt;='2. Inputs'!$E$11,AK22+AL21,0)</f>
        <v>0</v>
      </c>
      <c r="AM22" s="18">
        <f>IF(AM$4&lt;='2. Inputs'!$E$11,AL22+AM21,0)</f>
        <v>0</v>
      </c>
      <c r="AN22" s="18">
        <f>IF(AN$4&lt;='2. Inputs'!$E$11,AM22+AN21,0)</f>
        <v>0</v>
      </c>
      <c r="AO22" s="18">
        <f>IF(AO$4&lt;='2. Inputs'!$E$11,AN22+AO21,0)</f>
        <v>0</v>
      </c>
      <c r="AP22" s="18">
        <f>IF(AP$4&lt;='2. Inputs'!$E$11,AO22+AP21,0)</f>
        <v>0</v>
      </c>
      <c r="AQ22" s="18">
        <f>IF(AQ$4&lt;='2. Inputs'!$E$11,AP22+AQ21,0)</f>
        <v>0</v>
      </c>
      <c r="AR22" s="18">
        <f>IF(AR$4&lt;='2. Inputs'!$E$11,AQ22+AR21,0)</f>
        <v>0</v>
      </c>
      <c r="AS22" s="18">
        <f>IF(AS$4&lt;='2. Inputs'!$E$11,AR22+AS21,0)</f>
        <v>0</v>
      </c>
      <c r="AT22" s="18">
        <f>IF(AT$4&lt;='2. Inputs'!$E$11,AS22+AT21,0)</f>
        <v>0</v>
      </c>
      <c r="AU22" s="18">
        <f>IF(AU$4&lt;='2. Inputs'!$E$11,AT22+AU21,0)</f>
        <v>0</v>
      </c>
      <c r="AV22" s="18">
        <f>IF(AV$4&lt;='2. Inputs'!$E$11,AU22+AV21,0)</f>
        <v>0</v>
      </c>
      <c r="AW22" s="18">
        <f>IF(AW$4&lt;='2. Inputs'!$E$11,AV22+AW21,0)</f>
        <v>0</v>
      </c>
      <c r="AX22" s="18">
        <f>IF(AX$4&lt;='2. Inputs'!$E$11,AW22+AX21,0)</f>
        <v>0</v>
      </c>
      <c r="AY22" s="18">
        <f>IF(AY$4&lt;='2. Inputs'!$E$11,AX22+AY21,0)</f>
        <v>0</v>
      </c>
      <c r="AZ22" s="18">
        <f>IF(AZ$4&lt;='2. Inputs'!$E$11,AY22+AZ21,0)</f>
        <v>0</v>
      </c>
    </row>
    <row r="23" spans="2:52" x14ac:dyDescent="0.35">
      <c r="B23" s="7" t="s">
        <v>254</v>
      </c>
      <c r="E23" s="18">
        <f>0</f>
        <v>0</v>
      </c>
      <c r="F23" s="18">
        <f>IF(F$4='2. Inputs'!$E$13,E22*(1+'2. Inputs'!$E$20),0)</f>
        <v>0</v>
      </c>
      <c r="G23" s="18">
        <f>IF(G$4='2. Inputs'!$E$13,F22*(1+'2. Inputs'!$E$20),0)</f>
        <v>0</v>
      </c>
      <c r="H23" s="18">
        <f>IF(H$4='2. Inputs'!$E$13,G22*(1+'2. Inputs'!$E$20),0)</f>
        <v>1338695.7553463543</v>
      </c>
      <c r="I23" s="18">
        <f>IF(I$4='2. Inputs'!$E$13,H22*(1+'2. Inputs'!$E$20),0)</f>
        <v>0</v>
      </c>
      <c r="J23" s="18">
        <f>IF(J$4='2. Inputs'!$E$13,I22*(1+'2. Inputs'!$E$20),0)</f>
        <v>0</v>
      </c>
      <c r="K23" s="18">
        <f>IF(K$4='2. Inputs'!$E$13,J22*(1+'2. Inputs'!$E$20),0)</f>
        <v>0</v>
      </c>
      <c r="L23" s="18">
        <f>IF(L$4='2. Inputs'!$E$13,K22*(1+'2. Inputs'!$E$20),0)</f>
        <v>0</v>
      </c>
      <c r="M23" s="18">
        <f>IF(M$4='2. Inputs'!$E$13,L22*(1+'2. Inputs'!$E$20),0)</f>
        <v>0</v>
      </c>
      <c r="N23" s="18">
        <f>IF(N$4='2. Inputs'!$E$13,M22*(1+'2. Inputs'!$E$20),0)</f>
        <v>0</v>
      </c>
      <c r="O23" s="18">
        <f>IF(O$4='2. Inputs'!$E$13,N22*(1+'2. Inputs'!$E$20),0)</f>
        <v>0</v>
      </c>
      <c r="P23" s="18">
        <f>IF(P$4='2. Inputs'!$E$13,O22*(1+'2. Inputs'!$E$20),0)</f>
        <v>0</v>
      </c>
      <c r="Q23" s="18">
        <f>IF(Q$4='2. Inputs'!$E$13,P22*(1+'2. Inputs'!$E$20),0)</f>
        <v>0</v>
      </c>
      <c r="R23" s="18">
        <f>IF(R$4='2. Inputs'!$E$13,Q22*(1+'2. Inputs'!$E$20),0)</f>
        <v>0</v>
      </c>
      <c r="S23" s="18">
        <f>IF(S$4='2. Inputs'!$E$13,R22*(1+'2. Inputs'!$E$20),0)</f>
        <v>0</v>
      </c>
      <c r="T23" s="18">
        <f>IF(T$4='2. Inputs'!$E$13,S22*(1+'2. Inputs'!$E$20),0)</f>
        <v>0</v>
      </c>
      <c r="U23" s="18">
        <f>IF(U$4='2. Inputs'!$E$13,T22*(1+'2. Inputs'!$E$20),0)</f>
        <v>0</v>
      </c>
      <c r="V23" s="18">
        <f>IF(V$4='2. Inputs'!$E$13,U22*(1+'2. Inputs'!$E$20),0)</f>
        <v>0</v>
      </c>
      <c r="W23" s="18">
        <f>IF(W$4='2. Inputs'!$E$13,V22*(1+'2. Inputs'!$E$20),0)</f>
        <v>0</v>
      </c>
      <c r="X23" s="18">
        <f>IF(X$4='2. Inputs'!$E$13,W22*(1+'2. Inputs'!$E$20),0)</f>
        <v>0</v>
      </c>
      <c r="Y23" s="18">
        <f>IF(Y$4='2. Inputs'!$E$13,X22*(1+'2. Inputs'!$E$20),0)</f>
        <v>0</v>
      </c>
      <c r="Z23" s="18">
        <f>IF(Z$4='2. Inputs'!$E$13,Y22*(1+'2. Inputs'!$E$20),0)</f>
        <v>0</v>
      </c>
      <c r="AA23" s="18">
        <f>IF(AA$4='2. Inputs'!$E$13,Z22*(1+'2. Inputs'!$E$20),0)</f>
        <v>0</v>
      </c>
      <c r="AB23" s="18">
        <f>IF(AB$4='2. Inputs'!$E$13,AA22*(1+'2. Inputs'!$E$20),0)</f>
        <v>0</v>
      </c>
      <c r="AC23" s="18">
        <f>IF(AC$4='2. Inputs'!$E$13,AB22*(1+'2. Inputs'!$E$20),0)</f>
        <v>0</v>
      </c>
      <c r="AD23" s="18">
        <f>IF(AD$4='2. Inputs'!$E$13,AC22*(1+'2. Inputs'!$E$20),0)</f>
        <v>0</v>
      </c>
      <c r="AE23" s="18">
        <f>IF(AE$4='2. Inputs'!$E$13,AD22*(1+'2. Inputs'!$E$20),0)</f>
        <v>0</v>
      </c>
      <c r="AF23" s="18">
        <f>IF(AF$4='2. Inputs'!$E$13,AE22*(1+'2. Inputs'!$E$20),0)</f>
        <v>0</v>
      </c>
      <c r="AG23" s="18">
        <f>IF(AG$4='2. Inputs'!$E$13,AF22*(1+'2. Inputs'!$E$20),0)</f>
        <v>0</v>
      </c>
      <c r="AH23" s="18">
        <f>IF(AH$4='2. Inputs'!$E$13,AG22*(1+'2. Inputs'!$E$20),0)</f>
        <v>0</v>
      </c>
      <c r="AI23" s="18">
        <f>IF(AI$4='2. Inputs'!$E$13,AH22*(1+'2. Inputs'!$E$20),0)</f>
        <v>0</v>
      </c>
      <c r="AJ23" s="18">
        <f>IF(AJ$4='2. Inputs'!$E$13,AI22*(1+'2. Inputs'!$E$20),0)</f>
        <v>0</v>
      </c>
      <c r="AK23" s="18">
        <f>IF(AK$4='2. Inputs'!$E$13,AJ22*(1+'2. Inputs'!$E$20),0)</f>
        <v>0</v>
      </c>
      <c r="AL23" s="18">
        <f>IF(AL$4='2. Inputs'!$E$13,AK22*(1+'2. Inputs'!$E$20),0)</f>
        <v>0</v>
      </c>
      <c r="AM23" s="18">
        <f>IF(AM$4='2. Inputs'!$E$13,AL22*(1+'2. Inputs'!$E$20),0)</f>
        <v>0</v>
      </c>
      <c r="AN23" s="18">
        <f>IF(AN$4='2. Inputs'!$E$13,AM22*(1+'2. Inputs'!$E$20),0)</f>
        <v>0</v>
      </c>
      <c r="AO23" s="18">
        <f>IF(AO$4='2. Inputs'!$E$13,AN22*(1+'2. Inputs'!$E$20),0)</f>
        <v>0</v>
      </c>
      <c r="AP23" s="18">
        <f>IF(AP$4='2. Inputs'!$E$13,AO22*(1+'2. Inputs'!$E$20),0)</f>
        <v>0</v>
      </c>
      <c r="AQ23" s="18">
        <f>IF(AQ$4='2. Inputs'!$E$13,AP22*(1+'2. Inputs'!$E$20),0)</f>
        <v>0</v>
      </c>
      <c r="AR23" s="18">
        <f>IF(AR$4='2. Inputs'!$E$13,AQ22*(1+'2. Inputs'!$E$20),0)</f>
        <v>0</v>
      </c>
      <c r="AS23" s="18">
        <f>IF(AS$4='2. Inputs'!$E$13,AR22*(1+'2. Inputs'!$E$20),0)</f>
        <v>0</v>
      </c>
      <c r="AT23" s="18">
        <f>IF(AT$4='2. Inputs'!$E$13,AS22*(1+'2. Inputs'!$E$20),0)</f>
        <v>0</v>
      </c>
      <c r="AU23" s="18">
        <f>IF(AU$4='2. Inputs'!$E$13,AT22*(1+'2. Inputs'!$E$20),0)</f>
        <v>0</v>
      </c>
      <c r="AV23" s="18">
        <f>IF(AV$4='2. Inputs'!$E$13,AU22*(1+'2. Inputs'!$E$20),0)</f>
        <v>0</v>
      </c>
      <c r="AW23" s="18">
        <f>IF(AW$4='2. Inputs'!$E$13,AV22*(1+'2. Inputs'!$E$20),0)</f>
        <v>0</v>
      </c>
      <c r="AX23" s="18">
        <f>IF(AX$4='2. Inputs'!$E$13,AW22*(1+'2. Inputs'!$E$20),0)</f>
        <v>0</v>
      </c>
      <c r="AY23" s="18">
        <f>IF(AY$4='2. Inputs'!$E$13,AX22*(1+'2. Inputs'!$E$20),0)</f>
        <v>0</v>
      </c>
      <c r="AZ23" s="18">
        <f>IF(AZ$4='2. Inputs'!$E$13,AY22*(1+'2. Inputs'!$E$20),0)</f>
        <v>0</v>
      </c>
    </row>
    <row r="24" spans="2:52" x14ac:dyDescent="0.35">
      <c r="B24" s="7" t="s">
        <v>255</v>
      </c>
      <c r="E24" s="18">
        <f>MIN('2. Inputs'!$E$33,MAX(0,E17-'2. Inputs'!$E$21))</f>
        <v>799602.33333333326</v>
      </c>
      <c r="F24" s="18">
        <f>MIN('2. Inputs'!$E$33,MAX(0,F17-'2. Inputs'!$E$21))</f>
        <v>916704.66666666651</v>
      </c>
      <c r="G24" s="18">
        <f>MIN('2. Inputs'!$E$33,MAX(0,G17-'2. Inputs'!$E$21))</f>
        <v>968182</v>
      </c>
      <c r="H24" s="18">
        <f>MIN('2. Inputs'!$E$33,MAX(0,H17-'2. Inputs'!$E$21))</f>
        <v>1195107.7029166669</v>
      </c>
      <c r="I24" s="18">
        <f>MIN('2. Inputs'!$E$33,MAX(0,I17-'2. Inputs'!$E$21))</f>
        <v>1400000</v>
      </c>
      <c r="J24" s="18">
        <f>MIN('2. Inputs'!$E$33,MAX(0,J17-'2. Inputs'!$E$21))</f>
        <v>1400000</v>
      </c>
      <c r="K24" s="18">
        <f>MIN('2. Inputs'!$E$33,MAX(0,K17-'2. Inputs'!$E$21))</f>
        <v>1400000</v>
      </c>
      <c r="L24" s="18">
        <f>MIN('2. Inputs'!$E$33,MAX(0,L17-'2. Inputs'!$E$21))</f>
        <v>1400000</v>
      </c>
      <c r="M24" s="18">
        <f>MIN('2. Inputs'!$E$33,MAX(0,M17-'2. Inputs'!$E$21))</f>
        <v>1400000</v>
      </c>
      <c r="N24" s="18">
        <f>MIN('2. Inputs'!$E$33,MAX(0,N17-'2. Inputs'!$E$21))</f>
        <v>1400000</v>
      </c>
      <c r="O24" s="18">
        <f>MIN('2. Inputs'!$E$33,MAX(0,O17-'2. Inputs'!$E$21))</f>
        <v>1400000</v>
      </c>
      <c r="P24" s="18">
        <f>MIN('2. Inputs'!$E$33,MAX(0,P17-'2. Inputs'!$E$21))</f>
        <v>1400000</v>
      </c>
      <c r="Q24" s="18">
        <f>MIN('2. Inputs'!$E$33,MAX(0,Q17-'2. Inputs'!$E$21))</f>
        <v>1400000</v>
      </c>
      <c r="R24" s="18">
        <f>MIN('2. Inputs'!$E$33,MAX(0,R17-'2. Inputs'!$E$21))</f>
        <v>1400000</v>
      </c>
      <c r="S24" s="18">
        <f>MIN('2. Inputs'!$E$33,MAX(0,S17-'2. Inputs'!$E$21))</f>
        <v>1400000</v>
      </c>
      <c r="T24" s="18">
        <f>MIN('2. Inputs'!$E$33,MAX(0,T17-'2. Inputs'!$E$21))</f>
        <v>1400000</v>
      </c>
      <c r="U24" s="18">
        <f>MIN('2. Inputs'!$E$33,MAX(0,U17-'2. Inputs'!$E$21))</f>
        <v>1400000</v>
      </c>
      <c r="V24" s="18">
        <f>MIN('2. Inputs'!$E$33,MAX(0,V17-'2. Inputs'!$E$21))</f>
        <v>1400000</v>
      </c>
      <c r="W24" s="18">
        <f>MIN('2. Inputs'!$E$33,MAX(0,W17-'2. Inputs'!$E$21))</f>
        <v>1400000</v>
      </c>
      <c r="X24" s="18">
        <f>MIN('2. Inputs'!$E$33,MAX(0,X17-'2. Inputs'!$E$21))</f>
        <v>1400000</v>
      </c>
      <c r="Y24" s="18">
        <f>MIN('2. Inputs'!$E$33,MAX(0,Y17-'2. Inputs'!$E$21))</f>
        <v>1400000</v>
      </c>
      <c r="Z24" s="18">
        <f>MIN('2. Inputs'!$E$33,MAX(0,Z17-'2. Inputs'!$E$21))</f>
        <v>1400000</v>
      </c>
      <c r="AA24" s="18">
        <f>MIN('2. Inputs'!$E$33,MAX(0,AA17-'2. Inputs'!$E$21))</f>
        <v>1400000</v>
      </c>
      <c r="AB24" s="18">
        <f>MIN('2. Inputs'!$E$33,MAX(0,AB17-'2. Inputs'!$E$21))</f>
        <v>1400000</v>
      </c>
      <c r="AC24" s="18">
        <f>MIN('2. Inputs'!$E$33,MAX(0,AC17-'2. Inputs'!$E$21))</f>
        <v>1400000</v>
      </c>
      <c r="AD24" s="18">
        <f>MIN('2. Inputs'!$E$33,MAX(0,AD17-'2. Inputs'!$E$21))</f>
        <v>1400000</v>
      </c>
      <c r="AE24" s="18">
        <f>MIN('2. Inputs'!$E$33,MAX(0,AE17-'2. Inputs'!$E$21))</f>
        <v>1400000</v>
      </c>
      <c r="AF24" s="18">
        <f>MIN('2. Inputs'!$E$33,MAX(0,AF17-'2. Inputs'!$E$21))</f>
        <v>1400000</v>
      </c>
      <c r="AG24" s="18">
        <f>MIN('2. Inputs'!$E$33,MAX(0,AG17-'2. Inputs'!$E$21))</f>
        <v>1400000</v>
      </c>
      <c r="AH24" s="18">
        <f>MIN('2. Inputs'!$E$33,MAX(0,AH17-'2. Inputs'!$E$21))</f>
        <v>1400000</v>
      </c>
      <c r="AI24" s="18">
        <f>MIN('2. Inputs'!$E$33,MAX(0,AI17-'2. Inputs'!$E$21))</f>
        <v>1400000</v>
      </c>
      <c r="AJ24" s="18">
        <f>MIN('2. Inputs'!$E$33,MAX(0,AJ17-'2. Inputs'!$E$21))</f>
        <v>1400000</v>
      </c>
      <c r="AK24" s="18">
        <f>MIN('2. Inputs'!$E$33,MAX(0,AK17-'2. Inputs'!$E$21))</f>
        <v>1400000</v>
      </c>
      <c r="AL24" s="18">
        <f>MIN('2. Inputs'!$E$33,MAX(0,AL17-'2. Inputs'!$E$21))</f>
        <v>1400000</v>
      </c>
      <c r="AM24" s="18">
        <f>MIN('2. Inputs'!$E$33,MAX(0,AM17-'2. Inputs'!$E$21))</f>
        <v>1400000</v>
      </c>
      <c r="AN24" s="18">
        <f>MIN('2. Inputs'!$E$33,MAX(0,AN17-'2. Inputs'!$E$21))</f>
        <v>1400000</v>
      </c>
      <c r="AO24" s="18">
        <f>MIN('2. Inputs'!$E$33,MAX(0,AO17-'2. Inputs'!$E$21))</f>
        <v>1400000</v>
      </c>
      <c r="AP24" s="18">
        <f>MIN('2. Inputs'!$E$33,MAX(0,AP17-'2. Inputs'!$E$21))</f>
        <v>1400000</v>
      </c>
      <c r="AQ24" s="18">
        <f>MIN('2. Inputs'!$E$33,MAX(0,AQ17-'2. Inputs'!$E$21))</f>
        <v>1400000</v>
      </c>
      <c r="AR24" s="18">
        <f>MIN('2. Inputs'!$E$33,MAX(0,AR17-'2. Inputs'!$E$21))</f>
        <v>1400000</v>
      </c>
      <c r="AS24" s="18">
        <f>MIN('2. Inputs'!$E$33,MAX(0,AS17-'2. Inputs'!$E$21))</f>
        <v>1400000</v>
      </c>
      <c r="AT24" s="18">
        <f>MIN('2. Inputs'!$E$33,MAX(0,AT17-'2. Inputs'!$E$21))</f>
        <v>1400000</v>
      </c>
      <c r="AU24" s="18">
        <f>MIN('2. Inputs'!$E$33,MAX(0,AU17-'2. Inputs'!$E$21))</f>
        <v>1400000</v>
      </c>
      <c r="AV24" s="18">
        <f>MIN('2. Inputs'!$E$33,MAX(0,AV17-'2. Inputs'!$E$21))</f>
        <v>1400000</v>
      </c>
      <c r="AW24" s="18">
        <f>MIN('2. Inputs'!$E$33,MAX(0,AW17-'2. Inputs'!$E$21))</f>
        <v>1400000</v>
      </c>
      <c r="AX24" s="18">
        <f>MIN('2. Inputs'!$E$33,MAX(0,AX17-'2. Inputs'!$E$21))</f>
        <v>1400000</v>
      </c>
      <c r="AY24" s="18">
        <f>MIN('2. Inputs'!$E$33,MAX(0,AY17-'2. Inputs'!$E$21))</f>
        <v>1400000</v>
      </c>
      <c r="AZ24" s="18">
        <f>MIN('2. Inputs'!$E$33,MAX(0,AZ17-'2. Inputs'!$E$21))</f>
        <v>1400000</v>
      </c>
    </row>
    <row r="25" spans="2:52" x14ac:dyDescent="0.35">
      <c r="B25" s="7" t="s">
        <v>256</v>
      </c>
      <c r="E25" s="18">
        <f>E24-0</f>
        <v>799602.33333333326</v>
      </c>
      <c r="F25" s="18">
        <f t="shared" ref="F25:AZ25" si="3">F24-E24</f>
        <v>117102.33333333326</v>
      </c>
      <c r="G25" s="18">
        <f t="shared" si="3"/>
        <v>51477.333333333489</v>
      </c>
      <c r="H25" s="18">
        <f t="shared" si="3"/>
        <v>226925.70291666687</v>
      </c>
      <c r="I25" s="18">
        <f t="shared" si="3"/>
        <v>204892.29708333313</v>
      </c>
      <c r="J25" s="18">
        <f t="shared" si="3"/>
        <v>0</v>
      </c>
      <c r="K25" s="18">
        <f t="shared" si="3"/>
        <v>0</v>
      </c>
      <c r="L25" s="18">
        <f t="shared" si="3"/>
        <v>0</v>
      </c>
      <c r="M25" s="18">
        <f t="shared" si="3"/>
        <v>0</v>
      </c>
      <c r="N25" s="18">
        <f t="shared" si="3"/>
        <v>0</v>
      </c>
      <c r="O25" s="18">
        <f t="shared" si="3"/>
        <v>0</v>
      </c>
      <c r="P25" s="18">
        <f t="shared" si="3"/>
        <v>0</v>
      </c>
      <c r="Q25" s="18">
        <f t="shared" si="3"/>
        <v>0</v>
      </c>
      <c r="R25" s="18">
        <f t="shared" si="3"/>
        <v>0</v>
      </c>
      <c r="S25" s="18">
        <f t="shared" si="3"/>
        <v>0</v>
      </c>
      <c r="T25" s="18">
        <f t="shared" si="3"/>
        <v>0</v>
      </c>
      <c r="U25" s="18">
        <f t="shared" si="3"/>
        <v>0</v>
      </c>
      <c r="V25" s="18">
        <f t="shared" si="3"/>
        <v>0</v>
      </c>
      <c r="W25" s="18">
        <f t="shared" si="3"/>
        <v>0</v>
      </c>
      <c r="X25" s="18">
        <f t="shared" si="3"/>
        <v>0</v>
      </c>
      <c r="Y25" s="18">
        <f t="shared" si="3"/>
        <v>0</v>
      </c>
      <c r="Z25" s="18">
        <f t="shared" si="3"/>
        <v>0</v>
      </c>
      <c r="AA25" s="18">
        <f t="shared" si="3"/>
        <v>0</v>
      </c>
      <c r="AB25" s="18">
        <f t="shared" si="3"/>
        <v>0</v>
      </c>
      <c r="AC25" s="18">
        <f t="shared" si="3"/>
        <v>0</v>
      </c>
      <c r="AD25" s="18">
        <f t="shared" si="3"/>
        <v>0</v>
      </c>
      <c r="AE25" s="18">
        <f t="shared" si="3"/>
        <v>0</v>
      </c>
      <c r="AF25" s="18">
        <f t="shared" si="3"/>
        <v>0</v>
      </c>
      <c r="AG25" s="18">
        <f t="shared" si="3"/>
        <v>0</v>
      </c>
      <c r="AH25" s="18">
        <f t="shared" si="3"/>
        <v>0</v>
      </c>
      <c r="AI25" s="18">
        <f t="shared" si="3"/>
        <v>0</v>
      </c>
      <c r="AJ25" s="18">
        <f t="shared" si="3"/>
        <v>0</v>
      </c>
      <c r="AK25" s="18">
        <f t="shared" si="3"/>
        <v>0</v>
      </c>
      <c r="AL25" s="18">
        <f t="shared" si="3"/>
        <v>0</v>
      </c>
      <c r="AM25" s="18">
        <f t="shared" si="3"/>
        <v>0</v>
      </c>
      <c r="AN25" s="18">
        <f t="shared" si="3"/>
        <v>0</v>
      </c>
      <c r="AO25" s="18">
        <f t="shared" si="3"/>
        <v>0</v>
      </c>
      <c r="AP25" s="18">
        <f t="shared" si="3"/>
        <v>0</v>
      </c>
      <c r="AQ25" s="18">
        <f t="shared" si="3"/>
        <v>0</v>
      </c>
      <c r="AR25" s="18">
        <f t="shared" si="3"/>
        <v>0</v>
      </c>
      <c r="AS25" s="18">
        <f t="shared" si="3"/>
        <v>0</v>
      </c>
      <c r="AT25" s="18">
        <f t="shared" si="3"/>
        <v>0</v>
      </c>
      <c r="AU25" s="18">
        <f t="shared" si="3"/>
        <v>0</v>
      </c>
      <c r="AV25" s="18">
        <f t="shared" si="3"/>
        <v>0</v>
      </c>
      <c r="AW25" s="18">
        <f t="shared" si="3"/>
        <v>0</v>
      </c>
      <c r="AX25" s="18">
        <f t="shared" si="3"/>
        <v>0</v>
      </c>
      <c r="AY25" s="18">
        <f t="shared" si="3"/>
        <v>0</v>
      </c>
      <c r="AZ25" s="18">
        <f t="shared" si="3"/>
        <v>0</v>
      </c>
    </row>
    <row r="26" spans="2:52" x14ac:dyDescent="0.35">
      <c r="B26" s="7" t="s">
        <v>257</v>
      </c>
      <c r="E26" s="18">
        <f>IF(E$4&gt;='2. Inputs'!$E$13,MAX(0,E16-E25)+IF(E$4='2. Inputs'!$E$13,E23+'2. Inputs'!$E$30,0),0)</f>
        <v>0</v>
      </c>
      <c r="F26" s="18">
        <f>IF(F$4&gt;='2. Inputs'!$E$13,MAX(0,F16-F25)+IF(F$4='2. Inputs'!$E$13,F23+'2. Inputs'!$E$30,0),0)</f>
        <v>0</v>
      </c>
      <c r="G26" s="18">
        <f>IF(G$4&gt;='2. Inputs'!$E$13,MAX(0,G16-G25)+IF(G$4='2. Inputs'!$E$13,G23+'2. Inputs'!$E$30,0),0)</f>
        <v>0</v>
      </c>
      <c r="H26" s="18">
        <f>IF(H$4&gt;='2. Inputs'!$E$13,MAX(0,H16-H25)+IF(H$4='2. Inputs'!$E$13,H23+'2. Inputs'!$E$30,0),0)</f>
        <v>1395504.6496527498</v>
      </c>
      <c r="I26" s="18">
        <f>IF(I$4&gt;='2. Inputs'!$E$13,MAX(0,I16-I25)+IF(I$4='2. Inputs'!$E$13,I23+'2. Inputs'!$E$30,0),0)</f>
        <v>22033.405833333556</v>
      </c>
      <c r="J26" s="18">
        <f>IF(J$4&gt;='2. Inputs'!$E$13,MAX(0,J16-J25)+IF(J$4='2. Inputs'!$E$13,J23+'2. Inputs'!$E$30,0),0)</f>
        <v>226925.70291666669</v>
      </c>
      <c r="K26" s="18">
        <f>IF(K$4&gt;='2. Inputs'!$E$13,MAX(0,K16-K25)+IF(K$4='2. Inputs'!$E$13,K23+'2. Inputs'!$E$30,0),0)</f>
        <v>226925.70291666669</v>
      </c>
      <c r="L26" s="18">
        <f>IF(L$4&gt;='2. Inputs'!$E$13,MAX(0,L16-L25)+IF(L$4='2. Inputs'!$E$13,L23+'2. Inputs'!$E$30,0),0)</f>
        <v>226925.70291666669</v>
      </c>
      <c r="M26" s="18">
        <f>IF(M$4&gt;='2. Inputs'!$E$13,MAX(0,M16-M25)+IF(M$4='2. Inputs'!$E$13,M23+'2. Inputs'!$E$30,0),0)</f>
        <v>226925.70291666669</v>
      </c>
      <c r="N26" s="18">
        <f>IF(N$4&gt;='2. Inputs'!$E$13,MAX(0,N16-N25)+IF(N$4='2. Inputs'!$E$13,N23+'2. Inputs'!$E$30,0),0)</f>
        <v>226925.70291666669</v>
      </c>
      <c r="O26" s="18">
        <f>IF(O$4&gt;='2. Inputs'!$E$13,MAX(0,O16-O25)+IF(O$4='2. Inputs'!$E$13,O23+'2. Inputs'!$E$30,0),0)</f>
        <v>226925.70291666669</v>
      </c>
      <c r="P26" s="18">
        <f>IF(P$4&gt;='2. Inputs'!$E$13,MAX(0,P16-P25)+IF(P$4='2. Inputs'!$E$13,P23+'2. Inputs'!$E$30,0),0)</f>
        <v>226925.70291666669</v>
      </c>
      <c r="Q26" s="18">
        <f>IF(Q$4&gt;='2. Inputs'!$E$13,MAX(0,Q16-Q25)+IF(Q$4='2. Inputs'!$E$13,Q23+'2. Inputs'!$E$30,0),0)</f>
        <v>226925.70291666669</v>
      </c>
      <c r="R26" s="18">
        <f>IF(R$4&gt;='2. Inputs'!$E$13,MAX(0,R16-R25)+IF(R$4='2. Inputs'!$E$13,R23+'2. Inputs'!$E$30,0),0)</f>
        <v>226925.70291666669</v>
      </c>
      <c r="S26" s="18">
        <f>IF(S$4&gt;='2. Inputs'!$E$13,MAX(0,S16-S25)+IF(S$4='2. Inputs'!$E$13,S23+'2. Inputs'!$E$30,0),0)</f>
        <v>384199.13299666665</v>
      </c>
      <c r="T26" s="18">
        <f>IF(T$4&gt;='2. Inputs'!$E$13,MAX(0,T16-T25)+IF(T$4='2. Inputs'!$E$13,T23+'2. Inputs'!$E$30,0),0)</f>
        <v>0</v>
      </c>
      <c r="U26" s="18">
        <f>IF(U$4&gt;='2. Inputs'!$E$13,MAX(0,U16-U25)+IF(U$4='2. Inputs'!$E$13,U23+'2. Inputs'!$E$30,0),0)</f>
        <v>0</v>
      </c>
      <c r="V26" s="18">
        <f>IF(V$4&gt;='2. Inputs'!$E$13,MAX(0,V16-V25)+IF(V$4='2. Inputs'!$E$13,V23+'2. Inputs'!$E$30,0),0)</f>
        <v>0</v>
      </c>
      <c r="W26" s="18">
        <f>IF(W$4&gt;='2. Inputs'!$E$13,MAX(0,W16-W25)+IF(W$4='2. Inputs'!$E$13,W23+'2. Inputs'!$E$30,0),0)</f>
        <v>0</v>
      </c>
      <c r="X26" s="18">
        <f>IF(X$4&gt;='2. Inputs'!$E$13,MAX(0,X16-X25)+IF(X$4='2. Inputs'!$E$13,X23+'2. Inputs'!$E$30,0),0)</f>
        <v>0</v>
      </c>
      <c r="Y26" s="18">
        <f>IF(Y$4&gt;='2. Inputs'!$E$13,MAX(0,Y16-Y25)+IF(Y$4='2. Inputs'!$E$13,Y23+'2. Inputs'!$E$30,0),0)</f>
        <v>0</v>
      </c>
      <c r="Z26" s="18">
        <f>IF(Z$4&gt;='2. Inputs'!$E$13,MAX(0,Z16-Z25)+IF(Z$4='2. Inputs'!$E$13,Z23+'2. Inputs'!$E$30,0),0)</f>
        <v>0</v>
      </c>
      <c r="AA26" s="18">
        <f>IF(AA$4&gt;='2. Inputs'!$E$13,MAX(0,AA16-AA25)+IF(AA$4='2. Inputs'!$E$13,AA23+'2. Inputs'!$E$30,0),0)</f>
        <v>0</v>
      </c>
      <c r="AB26" s="18">
        <f>IF(AB$4&gt;='2. Inputs'!$E$13,MAX(0,AB16-AB25)+IF(AB$4='2. Inputs'!$E$13,AB23+'2. Inputs'!$E$30,0),0)</f>
        <v>0</v>
      </c>
      <c r="AC26" s="18">
        <f>IF(AC$4&gt;='2. Inputs'!$E$13,MAX(0,AC16-AC25)+IF(AC$4='2. Inputs'!$E$13,AC23+'2. Inputs'!$E$30,0),0)</f>
        <v>0</v>
      </c>
      <c r="AD26" s="18">
        <f>IF(AD$4&gt;='2. Inputs'!$E$13,MAX(0,AD16-AD25)+IF(AD$4='2. Inputs'!$E$13,AD23+'2. Inputs'!$E$30,0),0)</f>
        <v>0</v>
      </c>
      <c r="AE26" s="18">
        <f>IF(AE$4&gt;='2. Inputs'!$E$13,MAX(0,AE16-AE25)+IF(AE$4='2. Inputs'!$E$13,AE23+'2. Inputs'!$E$30,0),0)</f>
        <v>0</v>
      </c>
      <c r="AF26" s="18">
        <f>IF(AF$4&gt;='2. Inputs'!$E$13,MAX(0,AF16-AF25)+IF(AF$4='2. Inputs'!$E$13,AF23+'2. Inputs'!$E$30,0),0)</f>
        <v>0</v>
      </c>
      <c r="AG26" s="18">
        <f>IF(AG$4&gt;='2. Inputs'!$E$13,MAX(0,AG16-AG25)+IF(AG$4='2. Inputs'!$E$13,AG23+'2. Inputs'!$E$30,0),0)</f>
        <v>0</v>
      </c>
      <c r="AH26" s="18">
        <f>IF(AH$4&gt;='2. Inputs'!$E$13,MAX(0,AH16-AH25)+IF(AH$4='2. Inputs'!$E$13,AH23+'2. Inputs'!$E$30,0),0)</f>
        <v>0</v>
      </c>
      <c r="AI26" s="18">
        <f>IF(AI$4&gt;='2. Inputs'!$E$13,MAX(0,AI16-AI25)+IF(AI$4='2. Inputs'!$E$13,AI23+'2. Inputs'!$E$30,0),0)</f>
        <v>0</v>
      </c>
      <c r="AJ26" s="18">
        <f>IF(AJ$4&gt;='2. Inputs'!$E$13,MAX(0,AJ16-AJ25)+IF(AJ$4='2. Inputs'!$E$13,AJ23+'2. Inputs'!$E$30,0),0)</f>
        <v>0</v>
      </c>
      <c r="AK26" s="18">
        <f>IF(AK$4&gt;='2. Inputs'!$E$13,MAX(0,AK16-AK25)+IF(AK$4='2. Inputs'!$E$13,AK23+'2. Inputs'!$E$30,0),0)</f>
        <v>0</v>
      </c>
      <c r="AL26" s="18">
        <f>IF(AL$4&gt;='2. Inputs'!$E$13,MAX(0,AL16-AL25)+IF(AL$4='2. Inputs'!$E$13,AL23+'2. Inputs'!$E$30,0),0)</f>
        <v>0</v>
      </c>
      <c r="AM26" s="18">
        <f>IF(AM$4&gt;='2. Inputs'!$E$13,MAX(0,AM16-AM25)+IF(AM$4='2. Inputs'!$E$13,AM23+'2. Inputs'!$E$30,0),0)</f>
        <v>0</v>
      </c>
      <c r="AN26" s="18">
        <f>IF(AN$4&gt;='2. Inputs'!$E$13,MAX(0,AN16-AN25)+IF(AN$4='2. Inputs'!$E$13,AN23+'2. Inputs'!$E$30,0),0)</f>
        <v>0</v>
      </c>
      <c r="AO26" s="18">
        <f>IF(AO$4&gt;='2. Inputs'!$E$13,MAX(0,AO16-AO25)+IF(AO$4='2. Inputs'!$E$13,AO23+'2. Inputs'!$E$30,0),0)</f>
        <v>0</v>
      </c>
      <c r="AP26" s="18">
        <f>IF(AP$4&gt;='2. Inputs'!$E$13,MAX(0,AP16-AP25)+IF(AP$4='2. Inputs'!$E$13,AP23+'2. Inputs'!$E$30,0),0)</f>
        <v>0</v>
      </c>
      <c r="AQ26" s="18">
        <f>IF(AQ$4&gt;='2. Inputs'!$E$13,MAX(0,AQ16-AQ25)+IF(AQ$4='2. Inputs'!$E$13,AQ23+'2. Inputs'!$E$30,0),0)</f>
        <v>0</v>
      </c>
      <c r="AR26" s="18">
        <f>IF(AR$4&gt;='2. Inputs'!$E$13,MAX(0,AR16-AR25)+IF(AR$4='2. Inputs'!$E$13,AR23+'2. Inputs'!$E$30,0),0)</f>
        <v>0</v>
      </c>
      <c r="AS26" s="18">
        <f>IF(AS$4&gt;='2. Inputs'!$E$13,MAX(0,AS16-AS25)+IF(AS$4='2. Inputs'!$E$13,AS23+'2. Inputs'!$E$30,0),0)</f>
        <v>0</v>
      </c>
      <c r="AT26" s="18">
        <f>IF(AT$4&gt;='2. Inputs'!$E$13,MAX(0,AT16-AT25)+IF(AT$4='2. Inputs'!$E$13,AT23+'2. Inputs'!$E$30,0),0)</f>
        <v>0</v>
      </c>
      <c r="AU26" s="18">
        <f>IF(AU$4&gt;='2. Inputs'!$E$13,MAX(0,AU16-AU25)+IF(AU$4='2. Inputs'!$E$13,AU23+'2. Inputs'!$E$30,0),0)</f>
        <v>0</v>
      </c>
      <c r="AV26" s="18">
        <f>IF(AV$4&gt;='2. Inputs'!$E$13,MAX(0,AV16-AV25)+IF(AV$4='2. Inputs'!$E$13,AV23+'2. Inputs'!$E$30,0),0)</f>
        <v>0</v>
      </c>
      <c r="AW26" s="18">
        <f>IF(AW$4&gt;='2. Inputs'!$E$13,MAX(0,AW16-AW25)+IF(AW$4='2. Inputs'!$E$13,AW23+'2. Inputs'!$E$30,0),0)</f>
        <v>0</v>
      </c>
      <c r="AX26" s="18">
        <f>IF(AX$4&gt;='2. Inputs'!$E$13,MAX(0,AX16-AX25)+IF(AX$4='2. Inputs'!$E$13,AX23+'2. Inputs'!$E$30,0),0)</f>
        <v>0</v>
      </c>
      <c r="AY26" s="18">
        <f>IF(AY$4&gt;='2. Inputs'!$E$13,MAX(0,AY16-AY25)+IF(AY$4='2. Inputs'!$E$13,AY23+'2. Inputs'!$E$30,0),0)</f>
        <v>0</v>
      </c>
      <c r="AZ26" s="18">
        <f>IF(AZ$4&gt;='2. Inputs'!$E$13,MAX(0,AZ16-AZ25)+IF(AZ$4='2. Inputs'!$E$13,AZ23+'2. Inputs'!$E$30,0),0)</f>
        <v>0</v>
      </c>
    </row>
    <row r="27" spans="2:52" x14ac:dyDescent="0.35">
      <c r="B27" s="7" t="s">
        <v>258</v>
      </c>
      <c r="E27" s="18">
        <f>0</f>
        <v>0</v>
      </c>
      <c r="F27" s="18">
        <f>IF(F$4&lt;='2. Inputs'!$E$14,E28*'2. Inputs'!$E$25/12,0)</f>
        <v>0</v>
      </c>
      <c r="G27" s="18">
        <f>IF(G$4&lt;='2. Inputs'!$E$14,F28*'2. Inputs'!$E$25/12,0)</f>
        <v>0</v>
      </c>
      <c r="H27" s="18">
        <f>IF(H$4&lt;='2. Inputs'!$E$14,G28*'2. Inputs'!$E$25/12,0)</f>
        <v>0</v>
      </c>
      <c r="I27" s="18">
        <f>IF(I$4&lt;='2. Inputs'!$E$14,H28*'2. Inputs'!$E$25/12,0)</f>
        <v>9884.8246017069778</v>
      </c>
      <c r="J27" s="18">
        <f>IF(J$4&lt;='2. Inputs'!$E$14,I28*'2. Inputs'!$E$25/12,0)</f>
        <v>10110.912067288516</v>
      </c>
      <c r="K27" s="18">
        <f>IF(K$4&lt;='2. Inputs'!$E$14,J28*'2. Inputs'!$E$25/12,0)</f>
        <v>11789.921423424865</v>
      </c>
      <c r="L27" s="18">
        <f>IF(L$4&lt;='2. Inputs'!$E$14,K28*'2. Inputs'!$E$25/12,0)</f>
        <v>13480.823762500513</v>
      </c>
      <c r="M27" s="18">
        <f>IF(M$4&lt;='2. Inputs'!$E$14,L28*'2. Inputs'!$E$25/12,0)</f>
        <v>15183.703326477947</v>
      </c>
      <c r="N27" s="18">
        <f>IF(N$4&lt;='2. Inputs'!$E$14,M28*'2. Inputs'!$E$25/12,0)</f>
        <v>16898.64495403356</v>
      </c>
      <c r="O27" s="18">
        <f>IF(O$4&lt;='2. Inputs'!$E$14,N28*'2. Inputs'!$E$25/12,0)</f>
        <v>18625.734084784355</v>
      </c>
      <c r="P27" s="18">
        <f>IF(P$4&lt;='2. Inputs'!$E$14,O28*'2. Inputs'!$E$25/12,0)</f>
        <v>20365.056763544635</v>
      </c>
      <c r="Q27" s="18">
        <f>IF(Q$4&lt;='2. Inputs'!$E$14,P28*'2. Inputs'!$E$25/12,0)</f>
        <v>22116.6996446128</v>
      </c>
      <c r="R27" s="18">
        <f>IF(R$4&lt;='2. Inputs'!$E$14,Q28*'2. Inputs'!$E$25/12,0)</f>
        <v>23880.749996088532</v>
      </c>
      <c r="S27" s="18">
        <f>IF(S$4&lt;='2. Inputs'!$E$14,R28*'2. Inputs'!$E$25/12,0)</f>
        <v>25657.295704220549</v>
      </c>
      <c r="T27" s="18">
        <f>IF(T$4&lt;='2. Inputs'!$E$14,S28*'2. Inputs'!$E$25/12,0)</f>
        <v>0</v>
      </c>
      <c r="U27" s="18">
        <f>IF(U$4&lt;='2. Inputs'!$E$14,T28*'2. Inputs'!$E$25/12,0)</f>
        <v>0</v>
      </c>
      <c r="V27" s="18">
        <f>IF(V$4&lt;='2. Inputs'!$E$14,U28*'2. Inputs'!$E$25/12,0)</f>
        <v>0</v>
      </c>
      <c r="W27" s="18">
        <f>IF(W$4&lt;='2. Inputs'!$E$14,V28*'2. Inputs'!$E$25/12,0)</f>
        <v>0</v>
      </c>
      <c r="X27" s="18">
        <f>IF(X$4&lt;='2. Inputs'!$E$14,W28*'2. Inputs'!$E$25/12,0)</f>
        <v>0</v>
      </c>
      <c r="Y27" s="18">
        <f>IF(Y$4&lt;='2. Inputs'!$E$14,X28*'2. Inputs'!$E$25/12,0)</f>
        <v>0</v>
      </c>
      <c r="Z27" s="18">
        <f>IF(Z$4&lt;='2. Inputs'!$E$14,Y28*'2. Inputs'!$E$25/12,0)</f>
        <v>0</v>
      </c>
      <c r="AA27" s="18">
        <f>IF(AA$4&lt;='2. Inputs'!$E$14,Z28*'2. Inputs'!$E$25/12,0)</f>
        <v>0</v>
      </c>
      <c r="AB27" s="18">
        <f>IF(AB$4&lt;='2. Inputs'!$E$14,AA28*'2. Inputs'!$E$25/12,0)</f>
        <v>0</v>
      </c>
      <c r="AC27" s="18">
        <f>IF(AC$4&lt;='2. Inputs'!$E$14,AB28*'2. Inputs'!$E$25/12,0)</f>
        <v>0</v>
      </c>
      <c r="AD27" s="18">
        <f>IF(AD$4&lt;='2. Inputs'!$E$14,AC28*'2. Inputs'!$E$25/12,0)</f>
        <v>0</v>
      </c>
      <c r="AE27" s="18">
        <f>IF(AE$4&lt;='2. Inputs'!$E$14,AD28*'2. Inputs'!$E$25/12,0)</f>
        <v>0</v>
      </c>
      <c r="AF27" s="18">
        <f>IF(AF$4&lt;='2. Inputs'!$E$14,AE28*'2. Inputs'!$E$25/12,0)</f>
        <v>0</v>
      </c>
      <c r="AG27" s="18">
        <f>IF(AG$4&lt;='2. Inputs'!$E$14,AF28*'2. Inputs'!$E$25/12,0)</f>
        <v>0</v>
      </c>
      <c r="AH27" s="18">
        <f>IF(AH$4&lt;='2. Inputs'!$E$14,AG28*'2. Inputs'!$E$25/12,0)</f>
        <v>0</v>
      </c>
      <c r="AI27" s="18">
        <f>IF(AI$4&lt;='2. Inputs'!$E$14,AH28*'2. Inputs'!$E$25/12,0)</f>
        <v>0</v>
      </c>
      <c r="AJ27" s="18">
        <f>IF(AJ$4&lt;='2. Inputs'!$E$14,AI28*'2. Inputs'!$E$25/12,0)</f>
        <v>0</v>
      </c>
      <c r="AK27" s="18">
        <f>IF(AK$4&lt;='2. Inputs'!$E$14,AJ28*'2. Inputs'!$E$25/12,0)</f>
        <v>0</v>
      </c>
      <c r="AL27" s="18">
        <f>IF(AL$4&lt;='2. Inputs'!$E$14,AK28*'2. Inputs'!$E$25/12,0)</f>
        <v>0</v>
      </c>
      <c r="AM27" s="18">
        <f>IF(AM$4&lt;='2. Inputs'!$E$14,AL28*'2. Inputs'!$E$25/12,0)</f>
        <v>0</v>
      </c>
      <c r="AN27" s="18">
        <f>IF(AN$4&lt;='2. Inputs'!$E$14,AM28*'2. Inputs'!$E$25/12,0)</f>
        <v>0</v>
      </c>
      <c r="AO27" s="18">
        <f>IF(AO$4&lt;='2. Inputs'!$E$14,AN28*'2. Inputs'!$E$25/12,0)</f>
        <v>0</v>
      </c>
      <c r="AP27" s="18">
        <f>IF(AP$4&lt;='2. Inputs'!$E$14,AO28*'2. Inputs'!$E$25/12,0)</f>
        <v>0</v>
      </c>
      <c r="AQ27" s="18">
        <f>IF(AQ$4&lt;='2. Inputs'!$E$14,AP28*'2. Inputs'!$E$25/12,0)</f>
        <v>0</v>
      </c>
      <c r="AR27" s="18">
        <f>IF(AR$4&lt;='2. Inputs'!$E$14,AQ28*'2. Inputs'!$E$25/12,0)</f>
        <v>0</v>
      </c>
      <c r="AS27" s="18">
        <f>IF(AS$4&lt;='2. Inputs'!$E$14,AR28*'2. Inputs'!$E$25/12,0)</f>
        <v>0</v>
      </c>
      <c r="AT27" s="18">
        <f>IF(AT$4&lt;='2. Inputs'!$E$14,AS28*'2. Inputs'!$E$25/12,0)</f>
        <v>0</v>
      </c>
      <c r="AU27" s="18">
        <f>IF(AU$4&lt;='2. Inputs'!$E$14,AT28*'2. Inputs'!$E$25/12,0)</f>
        <v>0</v>
      </c>
      <c r="AV27" s="18">
        <f>IF(AV$4&lt;='2. Inputs'!$E$14,AU28*'2. Inputs'!$E$25/12,0)</f>
        <v>0</v>
      </c>
      <c r="AW27" s="18">
        <f>IF(AW$4&lt;='2. Inputs'!$E$14,AV28*'2. Inputs'!$E$25/12,0)</f>
        <v>0</v>
      </c>
      <c r="AX27" s="18">
        <f>IF(AX$4&lt;='2. Inputs'!$E$14,AW28*'2. Inputs'!$E$25/12,0)</f>
        <v>0</v>
      </c>
      <c r="AY27" s="18">
        <f>IF(AY$4&lt;='2. Inputs'!$E$14,AX28*'2. Inputs'!$E$25/12,0)</f>
        <v>0</v>
      </c>
      <c r="AZ27" s="18">
        <f>IF(AZ$4&lt;='2. Inputs'!$E$14,AY28*'2. Inputs'!$E$25/12,0)</f>
        <v>0</v>
      </c>
    </row>
    <row r="28" spans="2:52" x14ac:dyDescent="0.35">
      <c r="B28" s="7" t="s">
        <v>259</v>
      </c>
      <c r="E28" s="18">
        <f>E26</f>
        <v>0</v>
      </c>
      <c r="F28" s="18">
        <f>IF(F$4&gt;'2. Inputs'!$E$14,0,E28+F27+F26)</f>
        <v>0</v>
      </c>
      <c r="G28" s="18">
        <f>IF(G$4&gt;'2. Inputs'!$E$14,0,F28+G27+G26)</f>
        <v>0</v>
      </c>
      <c r="H28" s="18">
        <f>IF(H$4&gt;'2. Inputs'!$E$14,0,G28+H27+H26)</f>
        <v>1395504.6496527498</v>
      </c>
      <c r="I28" s="18">
        <f>IF(I$4&gt;'2. Inputs'!$E$14,0,H28+I27+I26)</f>
        <v>1427422.8800877903</v>
      </c>
      <c r="J28" s="18">
        <f>IF(J$4&gt;'2. Inputs'!$E$14,0,I28+J27+J26)</f>
        <v>1664459.4950717455</v>
      </c>
      <c r="K28" s="18">
        <f>IF(K$4&gt;'2. Inputs'!$E$14,0,J28+K27+K26)</f>
        <v>1903175.1194118371</v>
      </c>
      <c r="L28" s="18">
        <f>IF(L$4&gt;'2. Inputs'!$E$14,0,K28+L27+L26)</f>
        <v>2143581.6460910044</v>
      </c>
      <c r="M28" s="18">
        <f>IF(M$4&gt;'2. Inputs'!$E$14,0,L28+M27+M26)</f>
        <v>2385691.0523341494</v>
      </c>
      <c r="N28" s="18">
        <f>IF(N$4&gt;'2. Inputs'!$E$14,0,M28+N27+N26)</f>
        <v>2629515.4002048499</v>
      </c>
      <c r="O28" s="18">
        <f>IF(O$4&gt;'2. Inputs'!$E$14,0,N28+O27+O26)</f>
        <v>2875066.8372063013</v>
      </c>
      <c r="P28" s="18">
        <f>IF(P$4&gt;'2. Inputs'!$E$14,0,O28+P27+P26)</f>
        <v>3122357.5968865128</v>
      </c>
      <c r="Q28" s="18">
        <f>IF(Q$4&gt;'2. Inputs'!$E$14,0,P28+Q27+Q26)</f>
        <v>3371399.9994477923</v>
      </c>
      <c r="R28" s="18">
        <f>IF(R$4&gt;'2. Inputs'!$E$14,0,Q28+R27+R26)</f>
        <v>3622206.4523605476</v>
      </c>
      <c r="S28" s="18">
        <f>IF(S$4&gt;'2. Inputs'!$E$14,0,R28+S27+S26)</f>
        <v>4032062.8810614347</v>
      </c>
      <c r="T28" s="18">
        <f>IF(T$4&gt;'2. Inputs'!$E$14,0,S28+T27+T26)</f>
        <v>0</v>
      </c>
      <c r="U28" s="18">
        <f>IF(U$4&gt;'2. Inputs'!$E$14,0,T28+U27+U26)</f>
        <v>0</v>
      </c>
      <c r="V28" s="18">
        <f>IF(V$4&gt;'2. Inputs'!$E$14,0,U28+V27+V26)</f>
        <v>0</v>
      </c>
      <c r="W28" s="18">
        <f>IF(W$4&gt;'2. Inputs'!$E$14,0,V28+W27+W26)</f>
        <v>0</v>
      </c>
      <c r="X28" s="18">
        <f>IF(X$4&gt;'2. Inputs'!$E$14,0,W28+X27+X26)</f>
        <v>0</v>
      </c>
      <c r="Y28" s="18">
        <f>IF(Y$4&gt;'2. Inputs'!$E$14,0,X28+Y27+Y26)</f>
        <v>0</v>
      </c>
      <c r="Z28" s="18">
        <f>IF(Z$4&gt;'2. Inputs'!$E$14,0,Y28+Z27+Z26)</f>
        <v>0</v>
      </c>
      <c r="AA28" s="18">
        <f>IF(AA$4&gt;'2. Inputs'!$E$14,0,Z28+AA27+AA26)</f>
        <v>0</v>
      </c>
      <c r="AB28" s="18">
        <f>IF(AB$4&gt;'2. Inputs'!$E$14,0,AA28+AB27+AB26)</f>
        <v>0</v>
      </c>
      <c r="AC28" s="18">
        <f>IF(AC$4&gt;'2. Inputs'!$E$14,0,AB28+AC27+AC26)</f>
        <v>0</v>
      </c>
      <c r="AD28" s="18">
        <f>IF(AD$4&gt;'2. Inputs'!$E$14,0,AC28+AD27+AD26)</f>
        <v>0</v>
      </c>
      <c r="AE28" s="18">
        <f>IF(AE$4&gt;'2. Inputs'!$E$14,0,AD28+AE27+AE26)</f>
        <v>0</v>
      </c>
      <c r="AF28" s="18">
        <f>IF(AF$4&gt;'2. Inputs'!$E$14,0,AE28+AF27+AF26)</f>
        <v>0</v>
      </c>
      <c r="AG28" s="18">
        <f>IF(AG$4&gt;'2. Inputs'!$E$14,0,AF28+AG27+AG26)</f>
        <v>0</v>
      </c>
      <c r="AH28" s="18">
        <f>IF(AH$4&gt;'2. Inputs'!$E$14,0,AG28+AH27+AH26)</f>
        <v>0</v>
      </c>
      <c r="AI28" s="18">
        <f>IF(AI$4&gt;'2. Inputs'!$E$14,0,AH28+AI27+AI26)</f>
        <v>0</v>
      </c>
      <c r="AJ28" s="18">
        <f>IF(AJ$4&gt;'2. Inputs'!$E$14,0,AI28+AJ27+AJ26)</f>
        <v>0</v>
      </c>
      <c r="AK28" s="18">
        <f>IF(AK$4&gt;'2. Inputs'!$E$14,0,AJ28+AK27+AK26)</f>
        <v>0</v>
      </c>
      <c r="AL28" s="18">
        <f>IF(AL$4&gt;'2. Inputs'!$E$14,0,AK28+AL27+AL26)</f>
        <v>0</v>
      </c>
      <c r="AM28" s="18">
        <f>IF(AM$4&gt;'2. Inputs'!$E$14,0,AL28+AM27+AM26)</f>
        <v>0</v>
      </c>
      <c r="AN28" s="18">
        <f>IF(AN$4&gt;'2. Inputs'!$E$14,0,AM28+AN27+AN26)</f>
        <v>0</v>
      </c>
      <c r="AO28" s="18">
        <f>IF(AO$4&gt;'2. Inputs'!$E$14,0,AN28+AO27+AO26)</f>
        <v>0</v>
      </c>
      <c r="AP28" s="18">
        <f>IF(AP$4&gt;'2. Inputs'!$E$14,0,AO28+AP27+AP26)</f>
        <v>0</v>
      </c>
      <c r="AQ28" s="18">
        <f>IF(AQ$4&gt;'2. Inputs'!$E$14,0,AP28+AQ27+AQ26)</f>
        <v>0</v>
      </c>
      <c r="AR28" s="18">
        <f>IF(AR$4&gt;'2. Inputs'!$E$14,0,AQ28+AR27+AR26)</f>
        <v>0</v>
      </c>
      <c r="AS28" s="18">
        <f>IF(AS$4&gt;'2. Inputs'!$E$14,0,AR28+AS27+AS26)</f>
        <v>0</v>
      </c>
      <c r="AT28" s="18">
        <f>IF(AT$4&gt;'2. Inputs'!$E$14,0,AS28+AT27+AT26)</f>
        <v>0</v>
      </c>
      <c r="AU28" s="18">
        <f>IF(AU$4&gt;'2. Inputs'!$E$14,0,AT28+AU27+AU26)</f>
        <v>0</v>
      </c>
      <c r="AV28" s="18">
        <f>IF(AV$4&gt;'2. Inputs'!$E$14,0,AU28+AV27+AV26)</f>
        <v>0</v>
      </c>
      <c r="AW28" s="18">
        <f>IF(AW$4&gt;'2. Inputs'!$E$14,0,AV28+AW27+AW26)</f>
        <v>0</v>
      </c>
      <c r="AX28" s="18">
        <f>IF(AX$4&gt;'2. Inputs'!$E$14,0,AW28+AX27+AX26)</f>
        <v>0</v>
      </c>
      <c r="AY28" s="18">
        <f>IF(AY$4&gt;'2. Inputs'!$E$14,0,AX28+AY27+AY26)</f>
        <v>0</v>
      </c>
      <c r="AZ28" s="18">
        <f>IF(AZ$4&gt;'2. Inputs'!$E$14,0,AY28+AZ27+AZ26)</f>
        <v>0</v>
      </c>
    </row>
    <row r="29" spans="2:52" x14ac:dyDescent="0.35">
      <c r="B29" s="7" t="s">
        <v>260</v>
      </c>
      <c r="E29" s="7" t="str">
        <f>IF(AND(E$4&lt;'2. Inputs'!$E$13,E17&gt;'2. Inputs'!$E$21+'2. Inputs'!$E$33),"GAP","ok")</f>
        <v>ok</v>
      </c>
      <c r="F29" s="7" t="str">
        <f>IF(AND(F$4&lt;'2. Inputs'!$E$13,F17&gt;'2. Inputs'!$E$21+'2. Inputs'!$E$33),"GAP","ok")</f>
        <v>ok</v>
      </c>
      <c r="G29" s="7" t="str">
        <f>IF(AND(G$4&lt;'2. Inputs'!$E$13,G17&gt;'2. Inputs'!$E$21+'2. Inputs'!$E$33),"GAP","ok")</f>
        <v>ok</v>
      </c>
      <c r="H29" s="7" t="str">
        <f>IF(AND(H$4&lt;'2. Inputs'!$E$13,H17&gt;'2. Inputs'!$E$21+'2. Inputs'!$E$33),"GAP","ok")</f>
        <v>ok</v>
      </c>
      <c r="I29" s="7" t="str">
        <f>IF(AND(I$4&lt;'2. Inputs'!$E$13,I17&gt;'2. Inputs'!$E$21+'2. Inputs'!$E$33),"GAP","ok")</f>
        <v>ok</v>
      </c>
      <c r="J29" s="7" t="str">
        <f>IF(AND(J$4&lt;'2. Inputs'!$E$13,J17&gt;'2. Inputs'!$E$21+'2. Inputs'!$E$33),"GAP","ok")</f>
        <v>ok</v>
      </c>
      <c r="K29" s="7" t="str">
        <f>IF(AND(K$4&lt;'2. Inputs'!$E$13,K17&gt;'2. Inputs'!$E$21+'2. Inputs'!$E$33),"GAP","ok")</f>
        <v>ok</v>
      </c>
      <c r="L29" s="7" t="str">
        <f>IF(AND(L$4&lt;'2. Inputs'!$E$13,L17&gt;'2. Inputs'!$E$21+'2. Inputs'!$E$33),"GAP","ok")</f>
        <v>ok</v>
      </c>
      <c r="M29" s="7" t="str">
        <f>IF(AND(M$4&lt;'2. Inputs'!$E$13,M17&gt;'2. Inputs'!$E$21+'2. Inputs'!$E$33),"GAP","ok")</f>
        <v>ok</v>
      </c>
      <c r="N29" s="7" t="str">
        <f>IF(AND(N$4&lt;'2. Inputs'!$E$13,N17&gt;'2. Inputs'!$E$21+'2. Inputs'!$E$33),"GAP","ok")</f>
        <v>ok</v>
      </c>
      <c r="O29" s="7" t="str">
        <f>IF(AND(O$4&lt;'2. Inputs'!$E$13,O17&gt;'2. Inputs'!$E$21+'2. Inputs'!$E$33),"GAP","ok")</f>
        <v>ok</v>
      </c>
      <c r="P29" s="7" t="str">
        <f>IF(AND(P$4&lt;'2. Inputs'!$E$13,P17&gt;'2. Inputs'!$E$21+'2. Inputs'!$E$33),"GAP","ok")</f>
        <v>ok</v>
      </c>
      <c r="Q29" s="7" t="str">
        <f>IF(AND(Q$4&lt;'2. Inputs'!$E$13,Q17&gt;'2. Inputs'!$E$21+'2. Inputs'!$E$33),"GAP","ok")</f>
        <v>ok</v>
      </c>
      <c r="R29" s="7" t="str">
        <f>IF(AND(R$4&lt;'2. Inputs'!$E$13,R17&gt;'2. Inputs'!$E$21+'2. Inputs'!$E$33),"GAP","ok")</f>
        <v>ok</v>
      </c>
      <c r="S29" s="7" t="str">
        <f>IF(AND(S$4&lt;'2. Inputs'!$E$13,S17&gt;'2. Inputs'!$E$21+'2. Inputs'!$E$33),"GAP","ok")</f>
        <v>ok</v>
      </c>
      <c r="T29" s="7" t="str">
        <f>IF(AND(T$4&lt;'2. Inputs'!$E$13,T17&gt;'2. Inputs'!$E$21+'2. Inputs'!$E$33),"GAP","ok")</f>
        <v>ok</v>
      </c>
      <c r="U29" s="7" t="str">
        <f>IF(AND(U$4&lt;'2. Inputs'!$E$13,U17&gt;'2. Inputs'!$E$21+'2. Inputs'!$E$33),"GAP","ok")</f>
        <v>ok</v>
      </c>
      <c r="V29" s="7" t="str">
        <f>IF(AND(V$4&lt;'2. Inputs'!$E$13,V17&gt;'2. Inputs'!$E$21+'2. Inputs'!$E$33),"GAP","ok")</f>
        <v>ok</v>
      </c>
      <c r="W29" s="7" t="str">
        <f>IF(AND(W$4&lt;'2. Inputs'!$E$13,W17&gt;'2. Inputs'!$E$21+'2. Inputs'!$E$33),"GAP","ok")</f>
        <v>ok</v>
      </c>
      <c r="X29" s="7" t="str">
        <f>IF(AND(X$4&lt;'2. Inputs'!$E$13,X17&gt;'2. Inputs'!$E$21+'2. Inputs'!$E$33),"GAP","ok")</f>
        <v>ok</v>
      </c>
      <c r="Y29" s="7" t="str">
        <f>IF(AND(Y$4&lt;'2. Inputs'!$E$13,Y17&gt;'2. Inputs'!$E$21+'2. Inputs'!$E$33),"GAP","ok")</f>
        <v>ok</v>
      </c>
      <c r="Z29" s="7" t="str">
        <f>IF(AND(Z$4&lt;'2. Inputs'!$E$13,Z17&gt;'2. Inputs'!$E$21+'2. Inputs'!$E$33),"GAP","ok")</f>
        <v>ok</v>
      </c>
      <c r="AA29" s="7" t="str">
        <f>IF(AND(AA$4&lt;'2. Inputs'!$E$13,AA17&gt;'2. Inputs'!$E$21+'2. Inputs'!$E$33),"GAP","ok")</f>
        <v>ok</v>
      </c>
      <c r="AB29" s="7" t="str">
        <f>IF(AND(AB$4&lt;'2. Inputs'!$E$13,AB17&gt;'2. Inputs'!$E$21+'2. Inputs'!$E$33),"GAP","ok")</f>
        <v>ok</v>
      </c>
      <c r="AC29" s="7" t="str">
        <f>IF(AND(AC$4&lt;'2. Inputs'!$E$13,AC17&gt;'2. Inputs'!$E$21+'2. Inputs'!$E$33),"GAP","ok")</f>
        <v>ok</v>
      </c>
      <c r="AD29" s="7" t="str">
        <f>IF(AND(AD$4&lt;'2. Inputs'!$E$13,AD17&gt;'2. Inputs'!$E$21+'2. Inputs'!$E$33),"GAP","ok")</f>
        <v>ok</v>
      </c>
      <c r="AE29" s="7" t="str">
        <f>IF(AND(AE$4&lt;'2. Inputs'!$E$13,AE17&gt;'2. Inputs'!$E$21+'2. Inputs'!$E$33),"GAP","ok")</f>
        <v>ok</v>
      </c>
      <c r="AF29" s="7" t="str">
        <f>IF(AND(AF$4&lt;'2. Inputs'!$E$13,AF17&gt;'2. Inputs'!$E$21+'2. Inputs'!$E$33),"GAP","ok")</f>
        <v>ok</v>
      </c>
      <c r="AG29" s="7" t="str">
        <f>IF(AND(AG$4&lt;'2. Inputs'!$E$13,AG17&gt;'2. Inputs'!$E$21+'2. Inputs'!$E$33),"GAP","ok")</f>
        <v>ok</v>
      </c>
      <c r="AH29" s="7" t="str">
        <f>IF(AND(AH$4&lt;'2. Inputs'!$E$13,AH17&gt;'2. Inputs'!$E$21+'2. Inputs'!$E$33),"GAP","ok")</f>
        <v>ok</v>
      </c>
      <c r="AI29" s="7" t="str">
        <f>IF(AND(AI$4&lt;'2. Inputs'!$E$13,AI17&gt;'2. Inputs'!$E$21+'2. Inputs'!$E$33),"GAP","ok")</f>
        <v>ok</v>
      </c>
      <c r="AJ29" s="7" t="str">
        <f>IF(AND(AJ$4&lt;'2. Inputs'!$E$13,AJ17&gt;'2. Inputs'!$E$21+'2. Inputs'!$E$33),"GAP","ok")</f>
        <v>ok</v>
      </c>
      <c r="AK29" s="7" t="str">
        <f>IF(AND(AK$4&lt;'2. Inputs'!$E$13,AK17&gt;'2. Inputs'!$E$21+'2. Inputs'!$E$33),"GAP","ok")</f>
        <v>ok</v>
      </c>
      <c r="AL29" s="7" t="str">
        <f>IF(AND(AL$4&lt;'2. Inputs'!$E$13,AL17&gt;'2. Inputs'!$E$21+'2. Inputs'!$E$33),"GAP","ok")</f>
        <v>ok</v>
      </c>
      <c r="AM29" s="7" t="str">
        <f>IF(AND(AM$4&lt;'2. Inputs'!$E$13,AM17&gt;'2. Inputs'!$E$21+'2. Inputs'!$E$33),"GAP","ok")</f>
        <v>ok</v>
      </c>
      <c r="AN29" s="7" t="str">
        <f>IF(AND(AN$4&lt;'2. Inputs'!$E$13,AN17&gt;'2. Inputs'!$E$21+'2. Inputs'!$E$33),"GAP","ok")</f>
        <v>ok</v>
      </c>
      <c r="AO29" s="7" t="str">
        <f>IF(AND(AO$4&lt;'2. Inputs'!$E$13,AO17&gt;'2. Inputs'!$E$21+'2. Inputs'!$E$33),"GAP","ok")</f>
        <v>ok</v>
      </c>
      <c r="AP29" s="7" t="str">
        <f>IF(AND(AP$4&lt;'2. Inputs'!$E$13,AP17&gt;'2. Inputs'!$E$21+'2. Inputs'!$E$33),"GAP","ok")</f>
        <v>ok</v>
      </c>
      <c r="AQ29" s="7" t="str">
        <f>IF(AND(AQ$4&lt;'2. Inputs'!$E$13,AQ17&gt;'2. Inputs'!$E$21+'2. Inputs'!$E$33),"GAP","ok")</f>
        <v>ok</v>
      </c>
      <c r="AR29" s="7" t="str">
        <f>IF(AND(AR$4&lt;'2. Inputs'!$E$13,AR17&gt;'2. Inputs'!$E$21+'2. Inputs'!$E$33),"GAP","ok")</f>
        <v>ok</v>
      </c>
      <c r="AS29" s="7" t="str">
        <f>IF(AND(AS$4&lt;'2. Inputs'!$E$13,AS17&gt;'2. Inputs'!$E$21+'2. Inputs'!$E$33),"GAP","ok")</f>
        <v>ok</v>
      </c>
      <c r="AT29" s="7" t="str">
        <f>IF(AND(AT$4&lt;'2. Inputs'!$E$13,AT17&gt;'2. Inputs'!$E$21+'2. Inputs'!$E$33),"GAP","ok")</f>
        <v>ok</v>
      </c>
      <c r="AU29" s="7" t="str">
        <f>IF(AND(AU$4&lt;'2. Inputs'!$E$13,AU17&gt;'2. Inputs'!$E$21+'2. Inputs'!$E$33),"GAP","ok")</f>
        <v>ok</v>
      </c>
      <c r="AV29" s="7" t="str">
        <f>IF(AND(AV$4&lt;'2. Inputs'!$E$13,AV17&gt;'2. Inputs'!$E$21+'2. Inputs'!$E$33),"GAP","ok")</f>
        <v>ok</v>
      </c>
      <c r="AW29" s="7" t="str">
        <f>IF(AND(AW$4&lt;'2. Inputs'!$E$13,AW17&gt;'2. Inputs'!$E$21+'2. Inputs'!$E$33),"GAP","ok")</f>
        <v>ok</v>
      </c>
      <c r="AX29" s="7" t="str">
        <f>IF(AND(AX$4&lt;'2. Inputs'!$E$13,AX17&gt;'2. Inputs'!$E$21+'2. Inputs'!$E$33),"GAP","ok")</f>
        <v>ok</v>
      </c>
      <c r="AY29" s="7" t="str">
        <f>IF(AND(AY$4&lt;'2. Inputs'!$E$13,AY17&gt;'2. Inputs'!$E$21+'2. Inputs'!$E$33),"GAP","ok")</f>
        <v>ok</v>
      </c>
      <c r="AZ29" s="7" t="str">
        <f>IF(AND(AZ$4&lt;'2. Inputs'!$E$13,AZ17&gt;'2. Inputs'!$E$21+'2. Inputs'!$E$33),"GAP","ok")</f>
        <v>ok</v>
      </c>
    </row>
    <row r="31" spans="2:52" x14ac:dyDescent="0.35">
      <c r="B31" s="3" t="s">
        <v>261</v>
      </c>
      <c r="C31" s="3"/>
      <c r="D31" s="3"/>
    </row>
    <row r="32" spans="2:52" x14ac:dyDescent="0.35">
      <c r="B32" s="7" t="s">
        <v>262</v>
      </c>
      <c r="C32" s="18">
        <f>'2. Inputs'!E21*'2. Inputs'!E19</f>
        <v>25350</v>
      </c>
    </row>
    <row r="33" spans="2:4" x14ac:dyDescent="0.35">
      <c r="B33" s="7" t="s">
        <v>263</v>
      </c>
      <c r="C33" s="18">
        <f>SUM(E21:AZ21)</f>
        <v>32591.341927083333</v>
      </c>
    </row>
    <row r="34" spans="2:4" x14ac:dyDescent="0.35">
      <c r="B34" s="7" t="s">
        <v>264</v>
      </c>
      <c r="C34" s="18">
        <f>INDEX(E22:AZ22,'2. Inputs'!E11)*'2. Inputs'!E20</f>
        <v>13254.413419270835</v>
      </c>
    </row>
    <row r="35" spans="2:4" x14ac:dyDescent="0.35">
      <c r="B35" s="7" t="s">
        <v>265</v>
      </c>
      <c r="C35" s="18">
        <f>SUM(E23:AZ23)</f>
        <v>1338695.7553463543</v>
      </c>
    </row>
    <row r="36" spans="2:4" x14ac:dyDescent="0.35">
      <c r="B36" s="7" t="s">
        <v>266</v>
      </c>
      <c r="C36" s="18">
        <f>'2. Inputs'!E30</f>
        <v>56808.894306395319</v>
      </c>
    </row>
    <row r="37" spans="2:4" x14ac:dyDescent="0.35">
      <c r="B37" s="7" t="s">
        <v>267</v>
      </c>
      <c r="C37" s="18">
        <f>SUM(E27:AZ27)</f>
        <v>187994.36632868325</v>
      </c>
    </row>
    <row r="38" spans="2:4" x14ac:dyDescent="0.35">
      <c r="B38" s="7" t="s">
        <v>268</v>
      </c>
      <c r="C38" s="18">
        <f>INDEX(E28:AZ28,'2. Inputs'!E14)</f>
        <v>4032062.8810614347</v>
      </c>
    </row>
    <row r="39" spans="2:4" x14ac:dyDescent="0.35">
      <c r="B39" s="7" t="s">
        <v>269</v>
      </c>
      <c r="C39" s="18">
        <f>C38*'2. Inputs'!E27</f>
        <v>40320.628810614347</v>
      </c>
    </row>
    <row r="40" spans="2:4" x14ac:dyDescent="0.35">
      <c r="B40" s="13" t="s">
        <v>270</v>
      </c>
      <c r="C40" s="20">
        <f>C38+C39</f>
        <v>4072383.5098720491</v>
      </c>
    </row>
    <row r="41" spans="2:4" x14ac:dyDescent="0.35">
      <c r="B41" s="7" t="s">
        <v>271</v>
      </c>
      <c r="C41" s="18">
        <f>MAX(E28:AZ28)</f>
        <v>4032062.8810614347</v>
      </c>
    </row>
    <row r="42" spans="2:4" x14ac:dyDescent="0.35">
      <c r="B42" s="7" t="s">
        <v>40</v>
      </c>
      <c r="C42" s="27">
        <f>IF('1. Unit Import'!F42=0,0,C41/'1. Unit Import'!F42)</f>
        <v>0.64531295071356731</v>
      </c>
      <c r="D42" s="31" t="str">
        <f>IF(C42&lt;='2. Inputs'!E28,"ok","OVER COVENANT")</f>
        <v>ok</v>
      </c>
    </row>
    <row r="43" spans="2:4" x14ac:dyDescent="0.35">
      <c r="B43" s="13" t="s">
        <v>272</v>
      </c>
      <c r="C43" s="20">
        <f>C32+C33+C34+C36+C37+C39</f>
        <v>356319.6447920471</v>
      </c>
    </row>
    <row r="44" spans="2:4" x14ac:dyDescent="0.35">
      <c r="B44" s="13" t="s">
        <v>36</v>
      </c>
      <c r="C44" s="20">
        <f>'3. Dev Costs'!F87+C43</f>
        <v>5472383.5098720482</v>
      </c>
    </row>
    <row r="45" spans="2:4" x14ac:dyDescent="0.35">
      <c r="B45" s="7" t="s">
        <v>273</v>
      </c>
      <c r="C45" s="18">
        <f>MAX(E24:AZ24)</f>
        <v>1400000</v>
      </c>
    </row>
  </sheetData>
  <mergeCells count="3">
    <mergeCell ref="B7:D7"/>
    <mergeCell ref="B19:D19"/>
    <mergeCell ref="B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N75"/>
  <sheetViews>
    <sheetView showGridLines="0" zoomScaleNormal="100" workbookViewId="0">
      <pane xSplit="4" ySplit="4" topLeftCell="E27" activePane="bottomRight" state="frozen"/>
      <selection pane="topRight" activeCell="E1" sqref="E1"/>
      <selection pane="bottomLeft" activeCell="A5" sqref="A5"/>
      <selection pane="bottomRight" activeCell="B3" sqref="B3"/>
    </sheetView>
  </sheetViews>
  <sheetFormatPr defaultColWidth="8.6328125" defaultRowHeight="14.5" x14ac:dyDescent="0.35"/>
  <cols>
    <col min="1" max="1" width="2" customWidth="1"/>
    <col min="2" max="2" width="30" customWidth="1"/>
    <col min="3" max="3" width="36" customWidth="1"/>
    <col min="4" max="4" width="2" customWidth="1"/>
    <col min="5" max="40" width="11" customWidth="1"/>
  </cols>
  <sheetData>
    <row r="2" spans="2:8" ht="18" x14ac:dyDescent="0.4">
      <c r="B2" s="4" t="s">
        <v>335</v>
      </c>
    </row>
    <row r="4" spans="2:8" x14ac:dyDescent="0.35">
      <c r="B4" s="3" t="s">
        <v>274</v>
      </c>
      <c r="C4" s="3"/>
      <c r="D4" s="3"/>
      <c r="E4" s="3"/>
      <c r="F4" s="3"/>
      <c r="G4" s="3"/>
      <c r="H4" s="3"/>
    </row>
    <row r="5" spans="2:8" x14ac:dyDescent="0.35">
      <c r="C5" s="7" t="s">
        <v>275</v>
      </c>
      <c r="F5" s="18">
        <f>'1. Unit Import'!F42*(1+'2. Inputs'!E43)</f>
        <v>6248228.6720000012</v>
      </c>
    </row>
    <row r="6" spans="2:8" x14ac:dyDescent="0.35">
      <c r="C6" s="7" t="s">
        <v>276</v>
      </c>
      <c r="F6" s="18">
        <f>'3. Dev Costs'!F87</f>
        <v>5116063.8650800008</v>
      </c>
    </row>
    <row r="7" spans="2:8" x14ac:dyDescent="0.35">
      <c r="C7" s="7" t="s">
        <v>277</v>
      </c>
      <c r="F7" s="18">
        <f>'4. Cashflow'!C43</f>
        <v>356319.6447920471</v>
      </c>
    </row>
    <row r="8" spans="2:8" x14ac:dyDescent="0.35">
      <c r="C8" s="7" t="s">
        <v>278</v>
      </c>
      <c r="F8" s="18">
        <f>'4. Cashflow'!C44</f>
        <v>5472383.5098720482</v>
      </c>
    </row>
    <row r="9" spans="2:8" x14ac:dyDescent="0.35">
      <c r="C9" s="13" t="s">
        <v>279</v>
      </c>
      <c r="F9" s="20">
        <f>F5-F8</f>
        <v>775845.16212795302</v>
      </c>
    </row>
    <row r="10" spans="2:8" x14ac:dyDescent="0.35">
      <c r="C10" s="7" t="s">
        <v>280</v>
      </c>
      <c r="F10" s="27">
        <f>IF(F8=0,0,F9/F8)</f>
        <v>0.1417746327040762</v>
      </c>
    </row>
    <row r="11" spans="2:8" x14ac:dyDescent="0.35">
      <c r="C11" s="7" t="s">
        <v>7</v>
      </c>
      <c r="F11" s="27">
        <f>IF(F5=0,0,F9/F5)</f>
        <v>0.12417041738640658</v>
      </c>
    </row>
    <row r="12" spans="2:8" x14ac:dyDescent="0.35">
      <c r="C12" s="7" t="s">
        <v>281</v>
      </c>
      <c r="F12" s="18">
        <f>'4. Cashflow'!C40</f>
        <v>4072383.5098720491</v>
      </c>
    </row>
    <row r="13" spans="2:8" x14ac:dyDescent="0.35">
      <c r="C13" s="7" t="s">
        <v>282</v>
      </c>
      <c r="F13" s="18">
        <f>F9*'2. Inputs'!E34</f>
        <v>387922.58106397651</v>
      </c>
    </row>
    <row r="14" spans="2:8" x14ac:dyDescent="0.35">
      <c r="C14" s="7" t="s">
        <v>283</v>
      </c>
      <c r="F14" s="18">
        <f>F9*'2. Inputs'!E35</f>
        <v>387922.58106397651</v>
      </c>
    </row>
    <row r="15" spans="2:8" x14ac:dyDescent="0.35">
      <c r="C15" s="7" t="s">
        <v>284</v>
      </c>
      <c r="F15" s="27">
        <f>IF('2. Inputs'!E36=0,0,F13/'2. Inputs'!E36)</f>
        <v>0.55417511580568068</v>
      </c>
    </row>
    <row r="16" spans="2:8" x14ac:dyDescent="0.35">
      <c r="C16" s="7" t="s">
        <v>285</v>
      </c>
      <c r="F16" s="16">
        <f>'2. Inputs'!E14</f>
        <v>15</v>
      </c>
    </row>
    <row r="17" spans="2:40" x14ac:dyDescent="0.35">
      <c r="C17" s="7" t="s">
        <v>286</v>
      </c>
      <c r="F17" s="27">
        <f>IF(F16=0,0,F15*12/F16)</f>
        <v>0.44334009264454455</v>
      </c>
    </row>
    <row r="20" spans="2:40" x14ac:dyDescent="0.35">
      <c r="B20" s="3" t="s">
        <v>287</v>
      </c>
      <c r="C20" s="3"/>
      <c r="D20" s="3"/>
      <c r="E20" s="3"/>
      <c r="F20" s="3"/>
      <c r="G20" s="3"/>
      <c r="H20" s="3"/>
    </row>
    <row r="21" spans="2:40" x14ac:dyDescent="0.35">
      <c r="B21" s="12" t="s">
        <v>288</v>
      </c>
    </row>
    <row r="23" spans="2:40" x14ac:dyDescent="0.35">
      <c r="B23" s="13" t="s">
        <v>289</v>
      </c>
      <c r="E23" s="29">
        <v>1</v>
      </c>
      <c r="F23" s="29">
        <v>2</v>
      </c>
      <c r="G23" s="29">
        <v>3</v>
      </c>
      <c r="H23" s="29">
        <v>4</v>
      </c>
      <c r="I23" s="29">
        <v>5</v>
      </c>
      <c r="J23" s="29">
        <v>6</v>
      </c>
      <c r="K23" s="29">
        <v>7</v>
      </c>
      <c r="L23" s="29">
        <v>8</v>
      </c>
      <c r="M23" s="29">
        <v>9</v>
      </c>
      <c r="N23" s="29">
        <v>10</v>
      </c>
      <c r="O23" s="29">
        <v>11</v>
      </c>
      <c r="P23" s="29">
        <v>12</v>
      </c>
      <c r="Q23" s="29">
        <v>13</v>
      </c>
      <c r="R23" s="29">
        <v>14</v>
      </c>
      <c r="S23" s="29">
        <v>15</v>
      </c>
      <c r="T23" s="29">
        <v>16</v>
      </c>
      <c r="U23" s="29">
        <v>17</v>
      </c>
      <c r="V23" s="29">
        <v>18</v>
      </c>
      <c r="W23" s="29">
        <v>19</v>
      </c>
      <c r="X23" s="29">
        <v>20</v>
      </c>
      <c r="Y23" s="29">
        <v>21</v>
      </c>
      <c r="Z23" s="29">
        <v>22</v>
      </c>
      <c r="AA23" s="29">
        <v>23</v>
      </c>
      <c r="AB23" s="29">
        <v>24</v>
      </c>
      <c r="AC23" s="29">
        <v>25</v>
      </c>
      <c r="AD23" s="29">
        <v>26</v>
      </c>
      <c r="AE23" s="29">
        <v>27</v>
      </c>
      <c r="AF23" s="29">
        <v>28</v>
      </c>
      <c r="AG23" s="29">
        <v>29</v>
      </c>
      <c r="AH23" s="29">
        <v>30</v>
      </c>
      <c r="AI23" s="29">
        <v>31</v>
      </c>
      <c r="AJ23" s="29">
        <v>32</v>
      </c>
      <c r="AK23" s="29">
        <v>33</v>
      </c>
      <c r="AL23" s="29">
        <v>34</v>
      </c>
      <c r="AM23" s="29">
        <v>35</v>
      </c>
      <c r="AN23" s="29">
        <v>36</v>
      </c>
    </row>
    <row r="24" spans="2:40" x14ac:dyDescent="0.35">
      <c r="B24" s="7" t="s">
        <v>290</v>
      </c>
      <c r="E24" s="16">
        <f>MIN('2. Inputs'!$E$42,'1. Unit Import'!$F$40)</f>
        <v>2</v>
      </c>
      <c r="F24" s="16">
        <f>MIN('2. Inputs'!$E$42,E25)</f>
        <v>2</v>
      </c>
      <c r="G24" s="16">
        <f>MIN('2. Inputs'!$E$42,F25)</f>
        <v>2</v>
      </c>
      <c r="H24" s="16">
        <f>MIN('2. Inputs'!$E$42,G25)</f>
        <v>2</v>
      </c>
      <c r="I24" s="16">
        <f>MIN('2. Inputs'!$E$42,H25)</f>
        <v>2</v>
      </c>
      <c r="J24" s="16">
        <f>MIN('2. Inputs'!$E$42,I25)</f>
        <v>2</v>
      </c>
      <c r="K24" s="16">
        <f>MIN('2. Inputs'!$E$42,J25)</f>
        <v>0</v>
      </c>
      <c r="L24" s="16">
        <f>MIN('2. Inputs'!$E$42,K25)</f>
        <v>0</v>
      </c>
      <c r="M24" s="16">
        <f>MIN('2. Inputs'!$E$42,L25)</f>
        <v>0</v>
      </c>
      <c r="N24" s="16">
        <f>MIN('2. Inputs'!$E$42,M25)</f>
        <v>0</v>
      </c>
      <c r="O24" s="16">
        <f>MIN('2. Inputs'!$E$42,N25)</f>
        <v>0</v>
      </c>
      <c r="P24" s="16">
        <f>MIN('2. Inputs'!$E$42,O25)</f>
        <v>0</v>
      </c>
      <c r="Q24" s="16">
        <f>MIN('2. Inputs'!$E$42,P25)</f>
        <v>0</v>
      </c>
      <c r="R24" s="16">
        <f>MIN('2. Inputs'!$E$42,Q25)</f>
        <v>0</v>
      </c>
      <c r="S24" s="16">
        <f>MIN('2. Inputs'!$E$42,R25)</f>
        <v>0</v>
      </c>
      <c r="T24" s="16">
        <f>MIN('2. Inputs'!$E$42,S25)</f>
        <v>0</v>
      </c>
      <c r="U24" s="16">
        <f>MIN('2. Inputs'!$E$42,T25)</f>
        <v>0</v>
      </c>
      <c r="V24" s="16">
        <f>MIN('2. Inputs'!$E$42,U25)</f>
        <v>0</v>
      </c>
      <c r="W24" s="16">
        <f>MIN('2. Inputs'!$E$42,V25)</f>
        <v>0</v>
      </c>
      <c r="X24" s="16">
        <f>MIN('2. Inputs'!$E$42,W25)</f>
        <v>0</v>
      </c>
      <c r="Y24" s="16">
        <f>MIN('2. Inputs'!$E$42,X25)</f>
        <v>0</v>
      </c>
      <c r="Z24" s="16">
        <f>MIN('2. Inputs'!$E$42,Y25)</f>
        <v>0</v>
      </c>
      <c r="AA24" s="16">
        <f>MIN('2. Inputs'!$E$42,Z25)</f>
        <v>0</v>
      </c>
      <c r="AB24" s="16">
        <f>MIN('2. Inputs'!$E$42,AA25)</f>
        <v>0</v>
      </c>
      <c r="AC24" s="16">
        <f>MIN('2. Inputs'!$E$42,AB25)</f>
        <v>0</v>
      </c>
      <c r="AD24" s="16">
        <f>MIN('2. Inputs'!$E$42,AC25)</f>
        <v>0</v>
      </c>
      <c r="AE24" s="16">
        <f>MIN('2. Inputs'!$E$42,AD25)</f>
        <v>0</v>
      </c>
      <c r="AF24" s="16">
        <f>MIN('2. Inputs'!$E$42,AE25)</f>
        <v>0</v>
      </c>
      <c r="AG24" s="16">
        <f>MIN('2. Inputs'!$E$42,AF25)</f>
        <v>0</v>
      </c>
      <c r="AH24" s="16">
        <f>MIN('2. Inputs'!$E$42,AG25)</f>
        <v>0</v>
      </c>
      <c r="AI24" s="16">
        <f>MIN('2. Inputs'!$E$42,AH25)</f>
        <v>0</v>
      </c>
      <c r="AJ24" s="16">
        <f>MIN('2. Inputs'!$E$42,AI25)</f>
        <v>0</v>
      </c>
      <c r="AK24" s="16">
        <f>MIN('2. Inputs'!$E$42,AJ25)</f>
        <v>0</v>
      </c>
      <c r="AL24" s="16">
        <f>MIN('2. Inputs'!$E$42,AK25)</f>
        <v>0</v>
      </c>
      <c r="AM24" s="16">
        <f>MIN('2. Inputs'!$E$42,AL25)</f>
        <v>0</v>
      </c>
      <c r="AN24" s="16">
        <f>MIN('2. Inputs'!$E$42,AM25)</f>
        <v>0</v>
      </c>
    </row>
    <row r="25" spans="2:40" x14ac:dyDescent="0.35">
      <c r="B25" s="7" t="s">
        <v>291</v>
      </c>
      <c r="E25" s="16">
        <f>'1. Unit Import'!$F$40-E24</f>
        <v>10</v>
      </c>
      <c r="F25" s="16">
        <f t="shared" ref="F25:AN25" si="0">E25-F24</f>
        <v>8</v>
      </c>
      <c r="G25" s="16">
        <f t="shared" si="0"/>
        <v>6</v>
      </c>
      <c r="H25" s="16">
        <f t="shared" si="0"/>
        <v>4</v>
      </c>
      <c r="I25" s="16">
        <f t="shared" si="0"/>
        <v>2</v>
      </c>
      <c r="J25" s="16">
        <f t="shared" si="0"/>
        <v>0</v>
      </c>
      <c r="K25" s="16">
        <f t="shared" si="0"/>
        <v>0</v>
      </c>
      <c r="L25" s="16">
        <f t="shared" si="0"/>
        <v>0</v>
      </c>
      <c r="M25" s="16">
        <f t="shared" si="0"/>
        <v>0</v>
      </c>
      <c r="N25" s="16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16">
        <f t="shared" si="0"/>
        <v>0</v>
      </c>
      <c r="T25" s="16">
        <f t="shared" si="0"/>
        <v>0</v>
      </c>
      <c r="U25" s="16">
        <f t="shared" si="0"/>
        <v>0</v>
      </c>
      <c r="V25" s="16">
        <f t="shared" si="0"/>
        <v>0</v>
      </c>
      <c r="W25" s="16">
        <f t="shared" si="0"/>
        <v>0</v>
      </c>
      <c r="X25" s="16">
        <f t="shared" si="0"/>
        <v>0</v>
      </c>
      <c r="Y25" s="16">
        <f t="shared" si="0"/>
        <v>0</v>
      </c>
      <c r="Z25" s="16">
        <f t="shared" si="0"/>
        <v>0</v>
      </c>
      <c r="AA25" s="16">
        <f t="shared" si="0"/>
        <v>0</v>
      </c>
      <c r="AB25" s="16">
        <f t="shared" si="0"/>
        <v>0</v>
      </c>
      <c r="AC25" s="16">
        <f t="shared" si="0"/>
        <v>0</v>
      </c>
      <c r="AD25" s="16">
        <f t="shared" si="0"/>
        <v>0</v>
      </c>
      <c r="AE25" s="16">
        <f t="shared" si="0"/>
        <v>0</v>
      </c>
      <c r="AF25" s="16">
        <f t="shared" si="0"/>
        <v>0</v>
      </c>
      <c r="AG25" s="16">
        <f t="shared" si="0"/>
        <v>0</v>
      </c>
      <c r="AH25" s="16">
        <f t="shared" si="0"/>
        <v>0</v>
      </c>
      <c r="AI25" s="16">
        <f t="shared" si="0"/>
        <v>0</v>
      </c>
      <c r="AJ25" s="16">
        <f t="shared" si="0"/>
        <v>0</v>
      </c>
      <c r="AK25" s="16">
        <f t="shared" si="0"/>
        <v>0</v>
      </c>
      <c r="AL25" s="16">
        <f t="shared" si="0"/>
        <v>0</v>
      </c>
      <c r="AM25" s="16">
        <f t="shared" si="0"/>
        <v>0</v>
      </c>
      <c r="AN25" s="16">
        <f t="shared" si="0"/>
        <v>0</v>
      </c>
    </row>
    <row r="26" spans="2:40" x14ac:dyDescent="0.35">
      <c r="B26" s="7" t="s">
        <v>292</v>
      </c>
      <c r="E26" s="18">
        <f>E24*IF('1. Unit Import'!$F$40=0,0,$F$5/'1. Unit Import'!$F$40)</f>
        <v>1041371.4453333336</v>
      </c>
      <c r="F26" s="18">
        <f>F24*IF('1. Unit Import'!$F$40=0,0,$F$5/'1. Unit Import'!$F$40)</f>
        <v>1041371.4453333336</v>
      </c>
      <c r="G26" s="18">
        <f>G24*IF('1. Unit Import'!$F$40=0,0,$F$5/'1. Unit Import'!$F$40)</f>
        <v>1041371.4453333336</v>
      </c>
      <c r="H26" s="18">
        <f>H24*IF('1. Unit Import'!$F$40=0,0,$F$5/'1. Unit Import'!$F$40)</f>
        <v>1041371.4453333336</v>
      </c>
      <c r="I26" s="18">
        <f>I24*IF('1. Unit Import'!$F$40=0,0,$F$5/'1. Unit Import'!$F$40)</f>
        <v>1041371.4453333336</v>
      </c>
      <c r="J26" s="18">
        <f>J24*IF('1. Unit Import'!$F$40=0,0,$F$5/'1. Unit Import'!$F$40)</f>
        <v>1041371.4453333336</v>
      </c>
      <c r="K26" s="18">
        <f>K24*IF('1. Unit Import'!$F$40=0,0,$F$5/'1. Unit Import'!$F$40)</f>
        <v>0</v>
      </c>
      <c r="L26" s="18">
        <f>L24*IF('1. Unit Import'!$F$40=0,0,$F$5/'1. Unit Import'!$F$40)</f>
        <v>0</v>
      </c>
      <c r="M26" s="18">
        <f>M24*IF('1. Unit Import'!$F$40=0,0,$F$5/'1. Unit Import'!$F$40)</f>
        <v>0</v>
      </c>
      <c r="N26" s="18">
        <f>N24*IF('1. Unit Import'!$F$40=0,0,$F$5/'1. Unit Import'!$F$40)</f>
        <v>0</v>
      </c>
      <c r="O26" s="18">
        <f>O24*IF('1. Unit Import'!$F$40=0,0,$F$5/'1. Unit Import'!$F$40)</f>
        <v>0</v>
      </c>
      <c r="P26" s="18">
        <f>P24*IF('1. Unit Import'!$F$40=0,0,$F$5/'1. Unit Import'!$F$40)</f>
        <v>0</v>
      </c>
      <c r="Q26" s="18">
        <f>Q24*IF('1. Unit Import'!$F$40=0,0,$F$5/'1. Unit Import'!$F$40)</f>
        <v>0</v>
      </c>
      <c r="R26" s="18">
        <f>R24*IF('1. Unit Import'!$F$40=0,0,$F$5/'1. Unit Import'!$F$40)</f>
        <v>0</v>
      </c>
      <c r="S26" s="18">
        <f>S24*IF('1. Unit Import'!$F$40=0,0,$F$5/'1. Unit Import'!$F$40)</f>
        <v>0</v>
      </c>
      <c r="T26" s="18">
        <f>T24*IF('1. Unit Import'!$F$40=0,0,$F$5/'1. Unit Import'!$F$40)</f>
        <v>0</v>
      </c>
      <c r="U26" s="18">
        <f>U24*IF('1. Unit Import'!$F$40=0,0,$F$5/'1. Unit Import'!$F$40)</f>
        <v>0</v>
      </c>
      <c r="V26" s="18">
        <f>V24*IF('1. Unit Import'!$F$40=0,0,$F$5/'1. Unit Import'!$F$40)</f>
        <v>0</v>
      </c>
      <c r="W26" s="18">
        <f>W24*IF('1. Unit Import'!$F$40=0,0,$F$5/'1. Unit Import'!$F$40)</f>
        <v>0</v>
      </c>
      <c r="X26" s="18">
        <f>X24*IF('1. Unit Import'!$F$40=0,0,$F$5/'1. Unit Import'!$F$40)</f>
        <v>0</v>
      </c>
      <c r="Y26" s="18">
        <f>Y24*IF('1. Unit Import'!$F$40=0,0,$F$5/'1. Unit Import'!$F$40)</f>
        <v>0</v>
      </c>
      <c r="Z26" s="18">
        <f>Z24*IF('1. Unit Import'!$F$40=0,0,$F$5/'1. Unit Import'!$F$40)</f>
        <v>0</v>
      </c>
      <c r="AA26" s="18">
        <f>AA24*IF('1. Unit Import'!$F$40=0,0,$F$5/'1. Unit Import'!$F$40)</f>
        <v>0</v>
      </c>
      <c r="AB26" s="18">
        <f>AB24*IF('1. Unit Import'!$F$40=0,0,$F$5/'1. Unit Import'!$F$40)</f>
        <v>0</v>
      </c>
      <c r="AC26" s="18">
        <f>AC24*IF('1. Unit Import'!$F$40=0,0,$F$5/'1. Unit Import'!$F$40)</f>
        <v>0</v>
      </c>
      <c r="AD26" s="18">
        <f>AD24*IF('1. Unit Import'!$F$40=0,0,$F$5/'1. Unit Import'!$F$40)</f>
        <v>0</v>
      </c>
      <c r="AE26" s="18">
        <f>AE24*IF('1. Unit Import'!$F$40=0,0,$F$5/'1. Unit Import'!$F$40)</f>
        <v>0</v>
      </c>
      <c r="AF26" s="18">
        <f>AF24*IF('1. Unit Import'!$F$40=0,0,$F$5/'1. Unit Import'!$F$40)</f>
        <v>0</v>
      </c>
      <c r="AG26" s="18">
        <f>AG24*IF('1. Unit Import'!$F$40=0,0,$F$5/'1. Unit Import'!$F$40)</f>
        <v>0</v>
      </c>
      <c r="AH26" s="18">
        <f>AH24*IF('1. Unit Import'!$F$40=0,0,$F$5/'1. Unit Import'!$F$40)</f>
        <v>0</v>
      </c>
      <c r="AI26" s="18">
        <f>AI24*IF('1. Unit Import'!$F$40=0,0,$F$5/'1. Unit Import'!$F$40)</f>
        <v>0</v>
      </c>
      <c r="AJ26" s="18">
        <f>AJ24*IF('1. Unit Import'!$F$40=0,0,$F$5/'1. Unit Import'!$F$40)</f>
        <v>0</v>
      </c>
      <c r="AK26" s="18">
        <f>AK24*IF('1. Unit Import'!$F$40=0,0,$F$5/'1. Unit Import'!$F$40)</f>
        <v>0</v>
      </c>
      <c r="AL26" s="18">
        <f>AL24*IF('1. Unit Import'!$F$40=0,0,$F$5/'1. Unit Import'!$F$40)</f>
        <v>0</v>
      </c>
      <c r="AM26" s="18">
        <f>AM24*IF('1. Unit Import'!$F$40=0,0,$F$5/'1. Unit Import'!$F$40)</f>
        <v>0</v>
      </c>
      <c r="AN26" s="18">
        <f>AN24*IF('1. Unit Import'!$F$40=0,0,$F$5/'1. Unit Import'!$F$40)</f>
        <v>0</v>
      </c>
    </row>
    <row r="27" spans="2:40" x14ac:dyDescent="0.35">
      <c r="B27" s="7" t="s">
        <v>293</v>
      </c>
      <c r="E27" s="18">
        <f>E26*(1-'2. Inputs'!$E$40)-E24*'2. Inputs'!$E$41</f>
        <v>1024250.8736533335</v>
      </c>
      <c r="F27" s="18">
        <f>F26*(1-'2. Inputs'!$E$40)-F24*'2. Inputs'!$E$41</f>
        <v>1024250.8736533335</v>
      </c>
      <c r="G27" s="18">
        <f>G26*(1-'2. Inputs'!$E$40)-G24*'2. Inputs'!$E$41</f>
        <v>1024250.8736533335</v>
      </c>
      <c r="H27" s="18">
        <f>H26*(1-'2. Inputs'!$E$40)-H24*'2. Inputs'!$E$41</f>
        <v>1024250.8736533335</v>
      </c>
      <c r="I27" s="18">
        <f>I26*(1-'2. Inputs'!$E$40)-I24*'2. Inputs'!$E$41</f>
        <v>1024250.8736533335</v>
      </c>
      <c r="J27" s="18">
        <f>J26*(1-'2. Inputs'!$E$40)-J24*'2. Inputs'!$E$41</f>
        <v>1024250.8736533335</v>
      </c>
      <c r="K27" s="18">
        <f>K26*(1-'2. Inputs'!$E$40)-K24*'2. Inputs'!$E$41</f>
        <v>0</v>
      </c>
      <c r="L27" s="18">
        <f>L26*(1-'2. Inputs'!$E$40)-L24*'2. Inputs'!$E$41</f>
        <v>0</v>
      </c>
      <c r="M27" s="18">
        <f>M26*(1-'2. Inputs'!$E$40)-M24*'2. Inputs'!$E$41</f>
        <v>0</v>
      </c>
      <c r="N27" s="18">
        <f>N26*(1-'2. Inputs'!$E$40)-N24*'2. Inputs'!$E$41</f>
        <v>0</v>
      </c>
      <c r="O27" s="18">
        <f>O26*(1-'2. Inputs'!$E$40)-O24*'2. Inputs'!$E$41</f>
        <v>0</v>
      </c>
      <c r="P27" s="18">
        <f>P26*(1-'2. Inputs'!$E$40)-P24*'2. Inputs'!$E$41</f>
        <v>0</v>
      </c>
      <c r="Q27" s="18">
        <f>Q26*(1-'2. Inputs'!$E$40)-Q24*'2. Inputs'!$E$41</f>
        <v>0</v>
      </c>
      <c r="R27" s="18">
        <f>R26*(1-'2. Inputs'!$E$40)-R24*'2. Inputs'!$E$41</f>
        <v>0</v>
      </c>
      <c r="S27" s="18">
        <f>S26*(1-'2. Inputs'!$E$40)-S24*'2. Inputs'!$E$41</f>
        <v>0</v>
      </c>
      <c r="T27" s="18">
        <f>T26*(1-'2. Inputs'!$E$40)-T24*'2. Inputs'!$E$41</f>
        <v>0</v>
      </c>
      <c r="U27" s="18">
        <f>U26*(1-'2. Inputs'!$E$40)-U24*'2. Inputs'!$E$41</f>
        <v>0</v>
      </c>
      <c r="V27" s="18">
        <f>V26*(1-'2. Inputs'!$E$40)-V24*'2. Inputs'!$E$41</f>
        <v>0</v>
      </c>
      <c r="W27" s="18">
        <f>W26*(1-'2. Inputs'!$E$40)-W24*'2. Inputs'!$E$41</f>
        <v>0</v>
      </c>
      <c r="X27" s="18">
        <f>X26*(1-'2. Inputs'!$E$40)-X24*'2. Inputs'!$E$41</f>
        <v>0</v>
      </c>
      <c r="Y27" s="18">
        <f>Y26*(1-'2. Inputs'!$E$40)-Y24*'2. Inputs'!$E$41</f>
        <v>0</v>
      </c>
      <c r="Z27" s="18">
        <f>Z26*(1-'2. Inputs'!$E$40)-Z24*'2. Inputs'!$E$41</f>
        <v>0</v>
      </c>
      <c r="AA27" s="18">
        <f>AA26*(1-'2. Inputs'!$E$40)-AA24*'2. Inputs'!$E$41</f>
        <v>0</v>
      </c>
      <c r="AB27" s="18">
        <f>AB26*(1-'2. Inputs'!$E$40)-AB24*'2. Inputs'!$E$41</f>
        <v>0</v>
      </c>
      <c r="AC27" s="18">
        <f>AC26*(1-'2. Inputs'!$E$40)-AC24*'2. Inputs'!$E$41</f>
        <v>0</v>
      </c>
      <c r="AD27" s="18">
        <f>AD26*(1-'2. Inputs'!$E$40)-AD24*'2. Inputs'!$E$41</f>
        <v>0</v>
      </c>
      <c r="AE27" s="18">
        <f>AE26*(1-'2. Inputs'!$E$40)-AE24*'2. Inputs'!$E$41</f>
        <v>0</v>
      </c>
      <c r="AF27" s="18">
        <f>AF26*(1-'2. Inputs'!$E$40)-AF24*'2. Inputs'!$E$41</f>
        <v>0</v>
      </c>
      <c r="AG27" s="18">
        <f>AG26*(1-'2. Inputs'!$E$40)-AG24*'2. Inputs'!$E$41</f>
        <v>0</v>
      </c>
      <c r="AH27" s="18">
        <f>AH26*(1-'2. Inputs'!$E$40)-AH24*'2. Inputs'!$E$41</f>
        <v>0</v>
      </c>
      <c r="AI27" s="18">
        <f>AI26*(1-'2. Inputs'!$E$40)-AI24*'2. Inputs'!$E$41</f>
        <v>0</v>
      </c>
      <c r="AJ27" s="18">
        <f>AJ26*(1-'2. Inputs'!$E$40)-AJ24*'2. Inputs'!$E$41</f>
        <v>0</v>
      </c>
      <c r="AK27" s="18">
        <f>AK26*(1-'2. Inputs'!$E$40)-AK24*'2. Inputs'!$E$41</f>
        <v>0</v>
      </c>
      <c r="AL27" s="18">
        <f>AL26*(1-'2. Inputs'!$E$40)-AL24*'2. Inputs'!$E$41</f>
        <v>0</v>
      </c>
      <c r="AM27" s="18">
        <f>AM26*(1-'2. Inputs'!$E$40)-AM24*'2. Inputs'!$E$41</f>
        <v>0</v>
      </c>
      <c r="AN27" s="18">
        <f>AN26*(1-'2. Inputs'!$E$40)-AN24*'2. Inputs'!$E$41</f>
        <v>0</v>
      </c>
    </row>
    <row r="28" spans="2:40" x14ac:dyDescent="0.35">
      <c r="B28" s="7" t="s">
        <v>294</v>
      </c>
      <c r="E28" s="18">
        <f>'4. Cashflow'!$C$40</f>
        <v>4072383.5098720491</v>
      </c>
      <c r="F28" s="18">
        <f t="shared" ref="F28:AN28" si="1">E31</f>
        <v>3076978.6860803091</v>
      </c>
      <c r="G28" s="18">
        <f t="shared" si="1"/>
        <v>2074523.0781200444</v>
      </c>
      <c r="H28" s="18">
        <f t="shared" si="1"/>
        <v>1064966.7429367281</v>
      </c>
      <c r="I28" s="18">
        <f t="shared" si="1"/>
        <v>48259.383712529787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  <c r="X28" s="18">
        <f t="shared" si="1"/>
        <v>0</v>
      </c>
      <c r="Y28" s="18">
        <f t="shared" si="1"/>
        <v>0</v>
      </c>
      <c r="Z28" s="18">
        <f t="shared" si="1"/>
        <v>0</v>
      </c>
      <c r="AA28" s="18">
        <f t="shared" si="1"/>
        <v>0</v>
      </c>
      <c r="AB28" s="18">
        <f t="shared" si="1"/>
        <v>0</v>
      </c>
      <c r="AC28" s="18">
        <f t="shared" si="1"/>
        <v>0</v>
      </c>
      <c r="AD28" s="18">
        <f t="shared" si="1"/>
        <v>0</v>
      </c>
      <c r="AE28" s="18">
        <f t="shared" si="1"/>
        <v>0</v>
      </c>
      <c r="AF28" s="18">
        <f t="shared" si="1"/>
        <v>0</v>
      </c>
      <c r="AG28" s="18">
        <f t="shared" si="1"/>
        <v>0</v>
      </c>
      <c r="AH28" s="18">
        <f t="shared" si="1"/>
        <v>0</v>
      </c>
      <c r="AI28" s="18">
        <f t="shared" si="1"/>
        <v>0</v>
      </c>
      <c r="AJ28" s="18">
        <f t="shared" si="1"/>
        <v>0</v>
      </c>
      <c r="AK28" s="18">
        <f t="shared" si="1"/>
        <v>0</v>
      </c>
      <c r="AL28" s="18">
        <f t="shared" si="1"/>
        <v>0</v>
      </c>
      <c r="AM28" s="18">
        <f t="shared" si="1"/>
        <v>0</v>
      </c>
      <c r="AN28" s="18">
        <f t="shared" si="1"/>
        <v>0</v>
      </c>
    </row>
    <row r="29" spans="2:40" x14ac:dyDescent="0.35">
      <c r="B29" s="7" t="s">
        <v>295</v>
      </c>
      <c r="E29" s="18">
        <f>E28*'2. Inputs'!$E$25/12</f>
        <v>28846.049861593681</v>
      </c>
      <c r="F29" s="18">
        <f>F28*'2. Inputs'!$E$25/12</f>
        <v>21795.265693068857</v>
      </c>
      <c r="G29" s="18">
        <f>G28*'2. Inputs'!$E$25/12</f>
        <v>14694.538470016982</v>
      </c>
      <c r="H29" s="18">
        <f>H28*'2. Inputs'!$E$25/12</f>
        <v>7543.5144291351571</v>
      </c>
      <c r="I29" s="18">
        <f>I28*'2. Inputs'!$E$25/12</f>
        <v>341.83730129708601</v>
      </c>
      <c r="J29" s="18">
        <f>J28*'2. Inputs'!$E$25/12</f>
        <v>0</v>
      </c>
      <c r="K29" s="18">
        <f>K28*'2. Inputs'!$E$25/12</f>
        <v>0</v>
      </c>
      <c r="L29" s="18">
        <f>L28*'2. Inputs'!$E$25/12</f>
        <v>0</v>
      </c>
      <c r="M29" s="18">
        <f>M28*'2. Inputs'!$E$25/12</f>
        <v>0</v>
      </c>
      <c r="N29" s="18">
        <f>N28*'2. Inputs'!$E$25/12</f>
        <v>0</v>
      </c>
      <c r="O29" s="18">
        <f>O28*'2. Inputs'!$E$25/12</f>
        <v>0</v>
      </c>
      <c r="P29" s="18">
        <f>P28*'2. Inputs'!$E$25/12</f>
        <v>0</v>
      </c>
      <c r="Q29" s="18">
        <f>Q28*'2. Inputs'!$E$25/12</f>
        <v>0</v>
      </c>
      <c r="R29" s="18">
        <f>R28*'2. Inputs'!$E$25/12</f>
        <v>0</v>
      </c>
      <c r="S29" s="18">
        <f>S28*'2. Inputs'!$E$25/12</f>
        <v>0</v>
      </c>
      <c r="T29" s="18">
        <f>T28*'2. Inputs'!$E$25/12</f>
        <v>0</v>
      </c>
      <c r="U29" s="18">
        <f>U28*'2. Inputs'!$E$25/12</f>
        <v>0</v>
      </c>
      <c r="V29" s="18">
        <f>V28*'2. Inputs'!$E$25/12</f>
        <v>0</v>
      </c>
      <c r="W29" s="18">
        <f>W28*'2. Inputs'!$E$25/12</f>
        <v>0</v>
      </c>
      <c r="X29" s="18">
        <f>X28*'2. Inputs'!$E$25/12</f>
        <v>0</v>
      </c>
      <c r="Y29" s="18">
        <f>Y28*'2. Inputs'!$E$25/12</f>
        <v>0</v>
      </c>
      <c r="Z29" s="18">
        <f>Z28*'2. Inputs'!$E$25/12</f>
        <v>0</v>
      </c>
      <c r="AA29" s="18">
        <f>AA28*'2. Inputs'!$E$25/12</f>
        <v>0</v>
      </c>
      <c r="AB29" s="18">
        <f>AB28*'2. Inputs'!$E$25/12</f>
        <v>0</v>
      </c>
      <c r="AC29" s="18">
        <f>AC28*'2. Inputs'!$E$25/12</f>
        <v>0</v>
      </c>
      <c r="AD29" s="18">
        <f>AD28*'2. Inputs'!$E$25/12</f>
        <v>0</v>
      </c>
      <c r="AE29" s="18">
        <f>AE28*'2. Inputs'!$E$25/12</f>
        <v>0</v>
      </c>
      <c r="AF29" s="18">
        <f>AF28*'2. Inputs'!$E$25/12</f>
        <v>0</v>
      </c>
      <c r="AG29" s="18">
        <f>AG28*'2. Inputs'!$E$25/12</f>
        <v>0</v>
      </c>
      <c r="AH29" s="18">
        <f>AH28*'2. Inputs'!$E$25/12</f>
        <v>0</v>
      </c>
      <c r="AI29" s="18">
        <f>AI28*'2. Inputs'!$E$25/12</f>
        <v>0</v>
      </c>
      <c r="AJ29" s="18">
        <f>AJ28*'2. Inputs'!$E$25/12</f>
        <v>0</v>
      </c>
      <c r="AK29" s="18">
        <f>AK28*'2. Inputs'!$E$25/12</f>
        <v>0</v>
      </c>
      <c r="AL29" s="18">
        <f>AL28*'2. Inputs'!$E$25/12</f>
        <v>0</v>
      </c>
      <c r="AM29" s="18">
        <f>AM28*'2. Inputs'!$E$25/12</f>
        <v>0</v>
      </c>
      <c r="AN29" s="18">
        <f>AN28*'2. Inputs'!$E$25/12</f>
        <v>0</v>
      </c>
    </row>
    <row r="30" spans="2:40" x14ac:dyDescent="0.35">
      <c r="B30" s="7" t="s">
        <v>296</v>
      </c>
      <c r="E30" s="18">
        <f t="shared" ref="E30:AN30" si="2">MIN(E28+E29,MAX(0,E27))</f>
        <v>1024250.8736533335</v>
      </c>
      <c r="F30" s="18">
        <f t="shared" si="2"/>
        <v>1024250.8736533335</v>
      </c>
      <c r="G30" s="18">
        <f t="shared" si="2"/>
        <v>1024250.8736533335</v>
      </c>
      <c r="H30" s="18">
        <f t="shared" si="2"/>
        <v>1024250.8736533335</v>
      </c>
      <c r="I30" s="18">
        <f t="shared" si="2"/>
        <v>48601.221013826871</v>
      </c>
      <c r="J30" s="18">
        <f t="shared" si="2"/>
        <v>0</v>
      </c>
      <c r="K30" s="18">
        <f t="shared" si="2"/>
        <v>0</v>
      </c>
      <c r="L30" s="18">
        <f t="shared" si="2"/>
        <v>0</v>
      </c>
      <c r="M30" s="18">
        <f t="shared" si="2"/>
        <v>0</v>
      </c>
      <c r="N30" s="18">
        <f t="shared" si="2"/>
        <v>0</v>
      </c>
      <c r="O30" s="18">
        <f t="shared" si="2"/>
        <v>0</v>
      </c>
      <c r="P30" s="18">
        <f t="shared" si="2"/>
        <v>0</v>
      </c>
      <c r="Q30" s="18">
        <f t="shared" si="2"/>
        <v>0</v>
      </c>
      <c r="R30" s="18">
        <f t="shared" si="2"/>
        <v>0</v>
      </c>
      <c r="S30" s="18">
        <f t="shared" si="2"/>
        <v>0</v>
      </c>
      <c r="T30" s="18">
        <f t="shared" si="2"/>
        <v>0</v>
      </c>
      <c r="U30" s="18">
        <f t="shared" si="2"/>
        <v>0</v>
      </c>
      <c r="V30" s="18">
        <f t="shared" si="2"/>
        <v>0</v>
      </c>
      <c r="W30" s="18">
        <f t="shared" si="2"/>
        <v>0</v>
      </c>
      <c r="X30" s="18">
        <f t="shared" si="2"/>
        <v>0</v>
      </c>
      <c r="Y30" s="18">
        <f t="shared" si="2"/>
        <v>0</v>
      </c>
      <c r="Z30" s="18">
        <f t="shared" si="2"/>
        <v>0</v>
      </c>
      <c r="AA30" s="18">
        <f t="shared" si="2"/>
        <v>0</v>
      </c>
      <c r="AB30" s="18">
        <f t="shared" si="2"/>
        <v>0</v>
      </c>
      <c r="AC30" s="18">
        <f t="shared" si="2"/>
        <v>0</v>
      </c>
      <c r="AD30" s="18">
        <f t="shared" si="2"/>
        <v>0</v>
      </c>
      <c r="AE30" s="18">
        <f t="shared" si="2"/>
        <v>0</v>
      </c>
      <c r="AF30" s="18">
        <f t="shared" si="2"/>
        <v>0</v>
      </c>
      <c r="AG30" s="18">
        <f t="shared" si="2"/>
        <v>0</v>
      </c>
      <c r="AH30" s="18">
        <f t="shared" si="2"/>
        <v>0</v>
      </c>
      <c r="AI30" s="18">
        <f t="shared" si="2"/>
        <v>0</v>
      </c>
      <c r="AJ30" s="18">
        <f t="shared" si="2"/>
        <v>0</v>
      </c>
      <c r="AK30" s="18">
        <f t="shared" si="2"/>
        <v>0</v>
      </c>
      <c r="AL30" s="18">
        <f t="shared" si="2"/>
        <v>0</v>
      </c>
      <c r="AM30" s="18">
        <f t="shared" si="2"/>
        <v>0</v>
      </c>
      <c r="AN30" s="18">
        <f t="shared" si="2"/>
        <v>0</v>
      </c>
    </row>
    <row r="31" spans="2:40" x14ac:dyDescent="0.35">
      <c r="B31" s="7" t="s">
        <v>297</v>
      </c>
      <c r="E31" s="18">
        <f t="shared" ref="E31:AN31" si="3">E28+E29-E30</f>
        <v>3076978.6860803091</v>
      </c>
      <c r="F31" s="18">
        <f t="shared" si="3"/>
        <v>2074523.0781200444</v>
      </c>
      <c r="G31" s="18">
        <f t="shared" si="3"/>
        <v>1064966.7429367281</v>
      </c>
      <c r="H31" s="18">
        <f t="shared" si="3"/>
        <v>48259.383712529787</v>
      </c>
      <c r="I31" s="18">
        <f t="shared" si="3"/>
        <v>0</v>
      </c>
      <c r="J31" s="18">
        <f t="shared" si="3"/>
        <v>0</v>
      </c>
      <c r="K31" s="18">
        <f t="shared" si="3"/>
        <v>0</v>
      </c>
      <c r="L31" s="18">
        <f t="shared" si="3"/>
        <v>0</v>
      </c>
      <c r="M31" s="18">
        <f t="shared" si="3"/>
        <v>0</v>
      </c>
      <c r="N31" s="18">
        <f t="shared" si="3"/>
        <v>0</v>
      </c>
      <c r="O31" s="18">
        <f t="shared" si="3"/>
        <v>0</v>
      </c>
      <c r="P31" s="18">
        <f t="shared" si="3"/>
        <v>0</v>
      </c>
      <c r="Q31" s="18">
        <f t="shared" si="3"/>
        <v>0</v>
      </c>
      <c r="R31" s="18">
        <f t="shared" si="3"/>
        <v>0</v>
      </c>
      <c r="S31" s="18">
        <f t="shared" si="3"/>
        <v>0</v>
      </c>
      <c r="T31" s="18">
        <f t="shared" si="3"/>
        <v>0</v>
      </c>
      <c r="U31" s="18">
        <f t="shared" si="3"/>
        <v>0</v>
      </c>
      <c r="V31" s="18">
        <f t="shared" si="3"/>
        <v>0</v>
      </c>
      <c r="W31" s="18">
        <f t="shared" si="3"/>
        <v>0</v>
      </c>
      <c r="X31" s="18">
        <f t="shared" si="3"/>
        <v>0</v>
      </c>
      <c r="Y31" s="18">
        <f t="shared" si="3"/>
        <v>0</v>
      </c>
      <c r="Z31" s="18">
        <f t="shared" si="3"/>
        <v>0</v>
      </c>
      <c r="AA31" s="18">
        <f t="shared" si="3"/>
        <v>0</v>
      </c>
      <c r="AB31" s="18">
        <f t="shared" si="3"/>
        <v>0</v>
      </c>
      <c r="AC31" s="18">
        <f t="shared" si="3"/>
        <v>0</v>
      </c>
      <c r="AD31" s="18">
        <f t="shared" si="3"/>
        <v>0</v>
      </c>
      <c r="AE31" s="18">
        <f t="shared" si="3"/>
        <v>0</v>
      </c>
      <c r="AF31" s="18">
        <f t="shared" si="3"/>
        <v>0</v>
      </c>
      <c r="AG31" s="18">
        <f t="shared" si="3"/>
        <v>0</v>
      </c>
      <c r="AH31" s="18">
        <f t="shared" si="3"/>
        <v>0</v>
      </c>
      <c r="AI31" s="18">
        <f t="shared" si="3"/>
        <v>0</v>
      </c>
      <c r="AJ31" s="18">
        <f t="shared" si="3"/>
        <v>0</v>
      </c>
      <c r="AK31" s="18">
        <f t="shared" si="3"/>
        <v>0</v>
      </c>
      <c r="AL31" s="18">
        <f t="shared" si="3"/>
        <v>0</v>
      </c>
      <c r="AM31" s="18">
        <f t="shared" si="3"/>
        <v>0</v>
      </c>
      <c r="AN31" s="18">
        <f t="shared" si="3"/>
        <v>0</v>
      </c>
    </row>
    <row r="33" spans="2:8" x14ac:dyDescent="0.35">
      <c r="C33" s="7" t="s">
        <v>298</v>
      </c>
      <c r="F33" s="16">
        <f>IF('2. Inputs'!E42=0,0,ROUNDUP('1. Unit Import'!F40/'2. Inputs'!E42,0))</f>
        <v>6</v>
      </c>
    </row>
    <row r="34" spans="2:8" x14ac:dyDescent="0.35">
      <c r="C34" s="7" t="s">
        <v>299</v>
      </c>
      <c r="F34" s="16">
        <f>IF(INDEX(E31:AN31,36)&gt;0.01,"36+",COUNTIF(E31:AN31,"&gt;0.01")+1)</f>
        <v>5</v>
      </c>
    </row>
    <row r="35" spans="2:8" x14ac:dyDescent="0.35">
      <c r="C35" s="7" t="s">
        <v>300</v>
      </c>
      <c r="F35" s="18">
        <f>SUM(E29:AN29)</f>
        <v>73221.205755111761</v>
      </c>
    </row>
    <row r="36" spans="2:8" x14ac:dyDescent="0.35">
      <c r="C36" s="13" t="s">
        <v>301</v>
      </c>
      <c r="F36" s="20">
        <f>F9-F35</f>
        <v>702623.95637284126</v>
      </c>
    </row>
    <row r="37" spans="2:8" x14ac:dyDescent="0.35">
      <c r="C37" s="7" t="s">
        <v>282</v>
      </c>
      <c r="F37" s="18">
        <f>F36*'2. Inputs'!E34</f>
        <v>351311.97818642063</v>
      </c>
    </row>
    <row r="38" spans="2:8" x14ac:dyDescent="0.35">
      <c r="C38" s="7" t="s">
        <v>8</v>
      </c>
      <c r="F38" s="27">
        <f>IF('2. Inputs'!E36=0,0,F37/'2. Inputs'!E36)</f>
        <v>0.5018742545520295</v>
      </c>
    </row>
    <row r="39" spans="2:8" x14ac:dyDescent="0.35">
      <c r="C39" s="7" t="s">
        <v>302</v>
      </c>
      <c r="F39" s="16">
        <f>F16+F33</f>
        <v>21</v>
      </c>
    </row>
    <row r="42" spans="2:8" x14ac:dyDescent="0.35">
      <c r="B42" s="3" t="s">
        <v>303</v>
      </c>
      <c r="C42" s="3"/>
      <c r="D42" s="3"/>
      <c r="E42" s="3"/>
      <c r="F42" s="3"/>
      <c r="G42" s="3"/>
      <c r="H42" s="3"/>
    </row>
    <row r="43" spans="2:8" x14ac:dyDescent="0.35">
      <c r="C43" s="7" t="s">
        <v>304</v>
      </c>
      <c r="F43" s="18">
        <f>'2. Inputs'!E46*F5</f>
        <v>4061348.6368000009</v>
      </c>
    </row>
    <row r="44" spans="2:8" x14ac:dyDescent="0.35">
      <c r="C44" s="7" t="s">
        <v>120</v>
      </c>
      <c r="F44" s="18">
        <f>F43*'2. Inputs'!E48</f>
        <v>40613.486368000013</v>
      </c>
    </row>
    <row r="45" spans="2:8" x14ac:dyDescent="0.35">
      <c r="C45" s="7" t="s">
        <v>305</v>
      </c>
      <c r="F45" s="18">
        <f>F12</f>
        <v>4072383.5098720491</v>
      </c>
    </row>
    <row r="46" spans="2:8" x14ac:dyDescent="0.35">
      <c r="C46" s="13" t="s">
        <v>306</v>
      </c>
      <c r="F46" s="20">
        <f>F43-F44-F45</f>
        <v>-51648.359440048225</v>
      </c>
    </row>
    <row r="47" spans="2:8" x14ac:dyDescent="0.35">
      <c r="C47" s="7" t="s">
        <v>74</v>
      </c>
      <c r="F47" s="18">
        <f>'1. Unit Import'!F46</f>
        <v>240000</v>
      </c>
    </row>
    <row r="48" spans="2:8" x14ac:dyDescent="0.35">
      <c r="C48" s="7" t="s">
        <v>307</v>
      </c>
      <c r="F48" s="18">
        <f>F47*(1-'2. Inputs'!E49)*(1-'2. Inputs'!E50)</f>
        <v>193800</v>
      </c>
    </row>
    <row r="49" spans="2:40" x14ac:dyDescent="0.35">
      <c r="C49" s="7" t="s">
        <v>308</v>
      </c>
      <c r="F49" s="18">
        <f>F43*'2. Inputs'!E47</f>
        <v>223374.17502400005</v>
      </c>
    </row>
    <row r="50" spans="2:40" x14ac:dyDescent="0.35">
      <c r="C50" s="13" t="s">
        <v>309</v>
      </c>
      <c r="F50" s="20">
        <f>F48-F49</f>
        <v>-29574.175024000055</v>
      </c>
    </row>
    <row r="51" spans="2:40" x14ac:dyDescent="0.35">
      <c r="C51" s="7" t="s">
        <v>310</v>
      </c>
      <c r="F51" s="32">
        <f>IF(F49=0,0,F48/F49)</f>
        <v>0.86760253274210186</v>
      </c>
    </row>
    <row r="52" spans="2:40" x14ac:dyDescent="0.35">
      <c r="C52" s="7" t="s">
        <v>311</v>
      </c>
      <c r="F52" s="18">
        <f>'2. Inputs'!E33-F46</f>
        <v>1451648.3594400482</v>
      </c>
    </row>
    <row r="53" spans="2:40" x14ac:dyDescent="0.35">
      <c r="C53" s="7" t="s">
        <v>312</v>
      </c>
      <c r="F53" s="27">
        <f>IF(F52=0,0,F50/F52)</f>
        <v>-2.0372822957901358E-2</v>
      </c>
    </row>
    <row r="54" spans="2:40" x14ac:dyDescent="0.35">
      <c r="C54" s="7" t="s">
        <v>313</v>
      </c>
      <c r="F54" s="18">
        <f>F9</f>
        <v>775845.16212795302</v>
      </c>
    </row>
    <row r="57" spans="2:40" x14ac:dyDescent="0.35">
      <c r="B57" s="3" t="s">
        <v>314</v>
      </c>
      <c r="C57" s="3"/>
      <c r="D57" s="3"/>
      <c r="E57" s="3"/>
      <c r="F57" s="3"/>
      <c r="G57" s="3"/>
      <c r="H57" s="3"/>
    </row>
    <row r="58" spans="2:40" x14ac:dyDescent="0.35">
      <c r="B58" s="12" t="s">
        <v>315</v>
      </c>
    </row>
    <row r="59" spans="2:40" x14ac:dyDescent="0.35">
      <c r="C59" s="7" t="s">
        <v>316</v>
      </c>
      <c r="F59" s="18">
        <f>F12</f>
        <v>4072383.5098720491</v>
      </c>
    </row>
    <row r="60" spans="2:40" x14ac:dyDescent="0.35">
      <c r="C60" s="7" t="s">
        <v>94</v>
      </c>
      <c r="F60" s="18">
        <f>F59*'2. Inputs'!E48</f>
        <v>40723.83509872049</v>
      </c>
    </row>
    <row r="62" spans="2:40" x14ac:dyDescent="0.35">
      <c r="B62" s="13" t="s">
        <v>289</v>
      </c>
      <c r="E62" s="29">
        <v>1</v>
      </c>
      <c r="F62" s="29">
        <v>2</v>
      </c>
      <c r="G62" s="29">
        <v>3</v>
      </c>
      <c r="H62" s="29">
        <v>4</v>
      </c>
      <c r="I62" s="29">
        <v>5</v>
      </c>
      <c r="J62" s="29">
        <v>6</v>
      </c>
      <c r="K62" s="29">
        <v>7</v>
      </c>
      <c r="L62" s="29">
        <v>8</v>
      </c>
      <c r="M62" s="29">
        <v>9</v>
      </c>
      <c r="N62" s="29">
        <v>10</v>
      </c>
      <c r="O62" s="29">
        <v>11</v>
      </c>
      <c r="P62" s="29">
        <v>12</v>
      </c>
      <c r="Q62" s="29">
        <v>13</v>
      </c>
      <c r="R62" s="29">
        <v>14</v>
      </c>
      <c r="S62" s="29">
        <v>15</v>
      </c>
      <c r="T62" s="29">
        <v>16</v>
      </c>
      <c r="U62" s="29">
        <v>17</v>
      </c>
      <c r="V62" s="29">
        <v>18</v>
      </c>
      <c r="W62" s="29">
        <v>19</v>
      </c>
      <c r="X62" s="29">
        <v>20</v>
      </c>
      <c r="Y62" s="29">
        <v>21</v>
      </c>
      <c r="Z62" s="29">
        <v>22</v>
      </c>
      <c r="AA62" s="29">
        <v>23</v>
      </c>
      <c r="AB62" s="29">
        <v>24</v>
      </c>
      <c r="AC62" s="29">
        <v>25</v>
      </c>
      <c r="AD62" s="29">
        <v>26</v>
      </c>
      <c r="AE62" s="29">
        <v>27</v>
      </c>
      <c r="AF62" s="29">
        <v>28</v>
      </c>
      <c r="AG62" s="29">
        <v>29</v>
      </c>
      <c r="AH62" s="29">
        <v>30</v>
      </c>
      <c r="AI62" s="29">
        <v>31</v>
      </c>
      <c r="AJ62" s="29">
        <v>32</v>
      </c>
      <c r="AK62" s="29">
        <v>33</v>
      </c>
      <c r="AL62" s="29">
        <v>34</v>
      </c>
      <c r="AM62" s="29">
        <v>35</v>
      </c>
      <c r="AN62" s="29">
        <v>36</v>
      </c>
    </row>
    <row r="63" spans="2:40" x14ac:dyDescent="0.35">
      <c r="B63" s="7" t="s">
        <v>290</v>
      </c>
      <c r="E63" s="16">
        <f>MIN('2. Inputs'!$E$42,'1. Unit Import'!$F$40)</f>
        <v>2</v>
      </c>
      <c r="F63" s="16">
        <f>MIN('2. Inputs'!$E$42,E64)</f>
        <v>2</v>
      </c>
      <c r="G63" s="16">
        <f>MIN('2. Inputs'!$E$42,F64)</f>
        <v>2</v>
      </c>
      <c r="H63" s="16">
        <f>MIN('2. Inputs'!$E$42,G64)</f>
        <v>2</v>
      </c>
      <c r="I63" s="16">
        <f>MIN('2. Inputs'!$E$42,H64)</f>
        <v>2</v>
      </c>
      <c r="J63" s="16">
        <f>MIN('2. Inputs'!$E$42,I64)</f>
        <v>2</v>
      </c>
      <c r="K63" s="16">
        <f>MIN('2. Inputs'!$E$42,J64)</f>
        <v>0</v>
      </c>
      <c r="L63" s="16">
        <f>MIN('2. Inputs'!$E$42,K64)</f>
        <v>0</v>
      </c>
      <c r="M63" s="16">
        <f>MIN('2. Inputs'!$E$42,L64)</f>
        <v>0</v>
      </c>
      <c r="N63" s="16">
        <f>MIN('2. Inputs'!$E$42,M64)</f>
        <v>0</v>
      </c>
      <c r="O63" s="16">
        <f>MIN('2. Inputs'!$E$42,N64)</f>
        <v>0</v>
      </c>
      <c r="P63" s="16">
        <f>MIN('2. Inputs'!$E$42,O64)</f>
        <v>0</v>
      </c>
      <c r="Q63" s="16">
        <f>MIN('2. Inputs'!$E$42,P64)</f>
        <v>0</v>
      </c>
      <c r="R63" s="16">
        <f>MIN('2. Inputs'!$E$42,Q64)</f>
        <v>0</v>
      </c>
      <c r="S63" s="16">
        <f>MIN('2. Inputs'!$E$42,R64)</f>
        <v>0</v>
      </c>
      <c r="T63" s="16">
        <f>MIN('2. Inputs'!$E$42,S64)</f>
        <v>0</v>
      </c>
      <c r="U63" s="16">
        <f>MIN('2. Inputs'!$E$42,T64)</f>
        <v>0</v>
      </c>
      <c r="V63" s="16">
        <f>MIN('2. Inputs'!$E$42,U64)</f>
        <v>0</v>
      </c>
      <c r="W63" s="16">
        <f>MIN('2. Inputs'!$E$42,V64)</f>
        <v>0</v>
      </c>
      <c r="X63" s="16">
        <f>MIN('2. Inputs'!$E$42,W64)</f>
        <v>0</v>
      </c>
      <c r="Y63" s="16">
        <f>MIN('2. Inputs'!$E$42,X64)</f>
        <v>0</v>
      </c>
      <c r="Z63" s="16">
        <f>MIN('2. Inputs'!$E$42,Y64)</f>
        <v>0</v>
      </c>
      <c r="AA63" s="16">
        <f>MIN('2. Inputs'!$E$42,Z64)</f>
        <v>0</v>
      </c>
      <c r="AB63" s="16">
        <f>MIN('2. Inputs'!$E$42,AA64)</f>
        <v>0</v>
      </c>
      <c r="AC63" s="16">
        <f>MIN('2. Inputs'!$E$42,AB64)</f>
        <v>0</v>
      </c>
      <c r="AD63" s="16">
        <f>MIN('2. Inputs'!$E$42,AC64)</f>
        <v>0</v>
      </c>
      <c r="AE63" s="16">
        <f>MIN('2. Inputs'!$E$42,AD64)</f>
        <v>0</v>
      </c>
      <c r="AF63" s="16">
        <f>MIN('2. Inputs'!$E$42,AE64)</f>
        <v>0</v>
      </c>
      <c r="AG63" s="16">
        <f>MIN('2. Inputs'!$E$42,AF64)</f>
        <v>0</v>
      </c>
      <c r="AH63" s="16">
        <f>MIN('2. Inputs'!$E$42,AG64)</f>
        <v>0</v>
      </c>
      <c r="AI63" s="16">
        <f>MIN('2. Inputs'!$E$42,AH64)</f>
        <v>0</v>
      </c>
      <c r="AJ63" s="16">
        <f>MIN('2. Inputs'!$E$42,AI64)</f>
        <v>0</v>
      </c>
      <c r="AK63" s="16">
        <f>MIN('2. Inputs'!$E$42,AJ64)</f>
        <v>0</v>
      </c>
      <c r="AL63" s="16">
        <f>MIN('2. Inputs'!$E$42,AK64)</f>
        <v>0</v>
      </c>
      <c r="AM63" s="16">
        <f>MIN('2. Inputs'!$E$42,AL64)</f>
        <v>0</v>
      </c>
      <c r="AN63" s="16">
        <f>MIN('2. Inputs'!$E$42,AM64)</f>
        <v>0</v>
      </c>
    </row>
    <row r="64" spans="2:40" x14ac:dyDescent="0.35">
      <c r="B64" s="7" t="s">
        <v>291</v>
      </c>
      <c r="E64" s="16">
        <f>'1. Unit Import'!$F$40-E63</f>
        <v>10</v>
      </c>
      <c r="F64" s="16">
        <f t="shared" ref="F64:AN64" si="4">E64-F63</f>
        <v>8</v>
      </c>
      <c r="G64" s="16">
        <f t="shared" si="4"/>
        <v>6</v>
      </c>
      <c r="H64" s="16">
        <f t="shared" si="4"/>
        <v>4</v>
      </c>
      <c r="I64" s="16">
        <f t="shared" si="4"/>
        <v>2</v>
      </c>
      <c r="J64" s="16">
        <f t="shared" si="4"/>
        <v>0</v>
      </c>
      <c r="K64" s="16">
        <f t="shared" si="4"/>
        <v>0</v>
      </c>
      <c r="L64" s="16">
        <f t="shared" si="4"/>
        <v>0</v>
      </c>
      <c r="M64" s="16">
        <f t="shared" si="4"/>
        <v>0</v>
      </c>
      <c r="N64" s="16">
        <f t="shared" si="4"/>
        <v>0</v>
      </c>
      <c r="O64" s="16">
        <f t="shared" si="4"/>
        <v>0</v>
      </c>
      <c r="P64" s="16">
        <f t="shared" si="4"/>
        <v>0</v>
      </c>
      <c r="Q64" s="16">
        <f t="shared" si="4"/>
        <v>0</v>
      </c>
      <c r="R64" s="16">
        <f t="shared" si="4"/>
        <v>0</v>
      </c>
      <c r="S64" s="16">
        <f t="shared" si="4"/>
        <v>0</v>
      </c>
      <c r="T64" s="16">
        <f t="shared" si="4"/>
        <v>0</v>
      </c>
      <c r="U64" s="16">
        <f t="shared" si="4"/>
        <v>0</v>
      </c>
      <c r="V64" s="16">
        <f t="shared" si="4"/>
        <v>0</v>
      </c>
      <c r="W64" s="16">
        <f t="shared" si="4"/>
        <v>0</v>
      </c>
      <c r="X64" s="16">
        <f t="shared" si="4"/>
        <v>0</v>
      </c>
      <c r="Y64" s="16">
        <f t="shared" si="4"/>
        <v>0</v>
      </c>
      <c r="Z64" s="16">
        <f t="shared" si="4"/>
        <v>0</v>
      </c>
      <c r="AA64" s="16">
        <f t="shared" si="4"/>
        <v>0</v>
      </c>
      <c r="AB64" s="16">
        <f t="shared" si="4"/>
        <v>0</v>
      </c>
      <c r="AC64" s="16">
        <f t="shared" si="4"/>
        <v>0</v>
      </c>
      <c r="AD64" s="16">
        <f t="shared" si="4"/>
        <v>0</v>
      </c>
      <c r="AE64" s="16">
        <f t="shared" si="4"/>
        <v>0</v>
      </c>
      <c r="AF64" s="16">
        <f t="shared" si="4"/>
        <v>0</v>
      </c>
      <c r="AG64" s="16">
        <f t="shared" si="4"/>
        <v>0</v>
      </c>
      <c r="AH64" s="16">
        <f t="shared" si="4"/>
        <v>0</v>
      </c>
      <c r="AI64" s="16">
        <f t="shared" si="4"/>
        <v>0</v>
      </c>
      <c r="AJ64" s="16">
        <f t="shared" si="4"/>
        <v>0</v>
      </c>
      <c r="AK64" s="16">
        <f t="shared" si="4"/>
        <v>0</v>
      </c>
      <c r="AL64" s="16">
        <f t="shared" si="4"/>
        <v>0</v>
      </c>
      <c r="AM64" s="16">
        <f t="shared" si="4"/>
        <v>0</v>
      </c>
      <c r="AN64" s="16">
        <f t="shared" si="4"/>
        <v>0</v>
      </c>
    </row>
    <row r="65" spans="2:40" x14ac:dyDescent="0.35">
      <c r="B65" s="7" t="s">
        <v>317</v>
      </c>
      <c r="E65" s="18">
        <f>E63*IF('1. Unit Import'!$F$40=0,0,$F$5/'1. Unit Import'!$F$40)*(1-'2. Inputs'!$E$40)-E63*'2. Inputs'!$E$41</f>
        <v>1024250.8736533335</v>
      </c>
      <c r="F65" s="18">
        <f>F63*IF('1. Unit Import'!$F$40=0,0,$F$5/'1. Unit Import'!$F$40)*(1-'2. Inputs'!$E$40)-F63*'2. Inputs'!$E$41</f>
        <v>1024250.8736533335</v>
      </c>
      <c r="G65" s="18">
        <f>G63*IF('1. Unit Import'!$F$40=0,0,$F$5/'1. Unit Import'!$F$40)*(1-'2. Inputs'!$E$40)-G63*'2. Inputs'!$E$41</f>
        <v>1024250.8736533335</v>
      </c>
      <c r="H65" s="18">
        <f>H63*IF('1. Unit Import'!$F$40=0,0,$F$5/'1. Unit Import'!$F$40)*(1-'2. Inputs'!$E$40)-H63*'2. Inputs'!$E$41</f>
        <v>1024250.8736533335</v>
      </c>
      <c r="I65" s="18">
        <f>I63*IF('1. Unit Import'!$F$40=0,0,$F$5/'1. Unit Import'!$F$40)*(1-'2. Inputs'!$E$40)-I63*'2. Inputs'!$E$41</f>
        <v>1024250.8736533335</v>
      </c>
      <c r="J65" s="18">
        <f>J63*IF('1. Unit Import'!$F$40=0,0,$F$5/'1. Unit Import'!$F$40)*(1-'2. Inputs'!$E$40)-J63*'2. Inputs'!$E$41</f>
        <v>1024250.8736533335</v>
      </c>
      <c r="K65" s="18">
        <f>K63*IF('1. Unit Import'!$F$40=0,0,$F$5/'1. Unit Import'!$F$40)*(1-'2. Inputs'!$E$40)-K63*'2. Inputs'!$E$41</f>
        <v>0</v>
      </c>
      <c r="L65" s="18">
        <f>L63*IF('1. Unit Import'!$F$40=0,0,$F$5/'1. Unit Import'!$F$40)*(1-'2. Inputs'!$E$40)-L63*'2. Inputs'!$E$41</f>
        <v>0</v>
      </c>
      <c r="M65" s="18">
        <f>M63*IF('1. Unit Import'!$F$40=0,0,$F$5/'1. Unit Import'!$F$40)*(1-'2. Inputs'!$E$40)-M63*'2. Inputs'!$E$41</f>
        <v>0</v>
      </c>
      <c r="N65" s="18">
        <f>N63*IF('1. Unit Import'!$F$40=0,0,$F$5/'1. Unit Import'!$F$40)*(1-'2. Inputs'!$E$40)-N63*'2. Inputs'!$E$41</f>
        <v>0</v>
      </c>
      <c r="O65" s="18">
        <f>O63*IF('1. Unit Import'!$F$40=0,0,$F$5/'1. Unit Import'!$F$40)*(1-'2. Inputs'!$E$40)-O63*'2. Inputs'!$E$41</f>
        <v>0</v>
      </c>
      <c r="P65" s="18">
        <f>P63*IF('1. Unit Import'!$F$40=0,0,$F$5/'1. Unit Import'!$F$40)*(1-'2. Inputs'!$E$40)-P63*'2. Inputs'!$E$41</f>
        <v>0</v>
      </c>
      <c r="Q65" s="18">
        <f>Q63*IF('1. Unit Import'!$F$40=0,0,$F$5/'1. Unit Import'!$F$40)*(1-'2. Inputs'!$E$40)-Q63*'2. Inputs'!$E$41</f>
        <v>0</v>
      </c>
      <c r="R65" s="18">
        <f>R63*IF('1. Unit Import'!$F$40=0,0,$F$5/'1. Unit Import'!$F$40)*(1-'2. Inputs'!$E$40)-R63*'2. Inputs'!$E$41</f>
        <v>0</v>
      </c>
      <c r="S65" s="18">
        <f>S63*IF('1. Unit Import'!$F$40=0,0,$F$5/'1. Unit Import'!$F$40)*(1-'2. Inputs'!$E$40)-S63*'2. Inputs'!$E$41</f>
        <v>0</v>
      </c>
      <c r="T65" s="18">
        <f>T63*IF('1. Unit Import'!$F$40=0,0,$F$5/'1. Unit Import'!$F$40)*(1-'2. Inputs'!$E$40)-T63*'2. Inputs'!$E$41</f>
        <v>0</v>
      </c>
      <c r="U65" s="18">
        <f>U63*IF('1. Unit Import'!$F$40=0,0,$F$5/'1. Unit Import'!$F$40)*(1-'2. Inputs'!$E$40)-U63*'2. Inputs'!$E$41</f>
        <v>0</v>
      </c>
      <c r="V65" s="18">
        <f>V63*IF('1. Unit Import'!$F$40=0,0,$F$5/'1. Unit Import'!$F$40)*(1-'2. Inputs'!$E$40)-V63*'2. Inputs'!$E$41</f>
        <v>0</v>
      </c>
      <c r="W65" s="18">
        <f>W63*IF('1. Unit Import'!$F$40=0,0,$F$5/'1. Unit Import'!$F$40)*(1-'2. Inputs'!$E$40)-W63*'2. Inputs'!$E$41</f>
        <v>0</v>
      </c>
      <c r="X65" s="18">
        <f>X63*IF('1. Unit Import'!$F$40=0,0,$F$5/'1. Unit Import'!$F$40)*(1-'2. Inputs'!$E$40)-X63*'2. Inputs'!$E$41</f>
        <v>0</v>
      </c>
      <c r="Y65" s="18">
        <f>Y63*IF('1. Unit Import'!$F$40=0,0,$F$5/'1. Unit Import'!$F$40)*(1-'2. Inputs'!$E$40)-Y63*'2. Inputs'!$E$41</f>
        <v>0</v>
      </c>
      <c r="Z65" s="18">
        <f>Z63*IF('1. Unit Import'!$F$40=0,0,$F$5/'1. Unit Import'!$F$40)*(1-'2. Inputs'!$E$40)-Z63*'2. Inputs'!$E$41</f>
        <v>0</v>
      </c>
      <c r="AA65" s="18">
        <f>AA63*IF('1. Unit Import'!$F$40=0,0,$F$5/'1. Unit Import'!$F$40)*(1-'2. Inputs'!$E$40)-AA63*'2. Inputs'!$E$41</f>
        <v>0</v>
      </c>
      <c r="AB65" s="18">
        <f>AB63*IF('1. Unit Import'!$F$40=0,0,$F$5/'1. Unit Import'!$F$40)*(1-'2. Inputs'!$E$40)-AB63*'2. Inputs'!$E$41</f>
        <v>0</v>
      </c>
      <c r="AC65" s="18">
        <f>AC63*IF('1. Unit Import'!$F$40=0,0,$F$5/'1. Unit Import'!$F$40)*(1-'2. Inputs'!$E$40)-AC63*'2. Inputs'!$E$41</f>
        <v>0</v>
      </c>
      <c r="AD65" s="18">
        <f>AD63*IF('1. Unit Import'!$F$40=0,0,$F$5/'1. Unit Import'!$F$40)*(1-'2. Inputs'!$E$40)-AD63*'2. Inputs'!$E$41</f>
        <v>0</v>
      </c>
      <c r="AE65" s="18">
        <f>AE63*IF('1. Unit Import'!$F$40=0,0,$F$5/'1. Unit Import'!$F$40)*(1-'2. Inputs'!$E$40)-AE63*'2. Inputs'!$E$41</f>
        <v>0</v>
      </c>
      <c r="AF65" s="18">
        <f>AF63*IF('1. Unit Import'!$F$40=0,0,$F$5/'1. Unit Import'!$F$40)*(1-'2. Inputs'!$E$40)-AF63*'2. Inputs'!$E$41</f>
        <v>0</v>
      </c>
      <c r="AG65" s="18">
        <f>AG63*IF('1. Unit Import'!$F$40=0,0,$F$5/'1. Unit Import'!$F$40)*(1-'2. Inputs'!$E$40)-AG63*'2. Inputs'!$E$41</f>
        <v>0</v>
      </c>
      <c r="AH65" s="18">
        <f>AH63*IF('1. Unit Import'!$F$40=0,0,$F$5/'1. Unit Import'!$F$40)*(1-'2. Inputs'!$E$40)-AH63*'2. Inputs'!$E$41</f>
        <v>0</v>
      </c>
      <c r="AI65" s="18">
        <f>AI63*IF('1. Unit Import'!$F$40=0,0,$F$5/'1. Unit Import'!$F$40)*(1-'2. Inputs'!$E$40)-AI63*'2. Inputs'!$E$41</f>
        <v>0</v>
      </c>
      <c r="AJ65" s="18">
        <f>AJ63*IF('1. Unit Import'!$F$40=0,0,$F$5/'1. Unit Import'!$F$40)*(1-'2. Inputs'!$E$40)-AJ63*'2. Inputs'!$E$41</f>
        <v>0</v>
      </c>
      <c r="AK65" s="18">
        <f>AK63*IF('1. Unit Import'!$F$40=0,0,$F$5/'1. Unit Import'!$F$40)*(1-'2. Inputs'!$E$40)-AK63*'2. Inputs'!$E$41</f>
        <v>0</v>
      </c>
      <c r="AL65" s="18">
        <f>AL63*IF('1. Unit Import'!$F$40=0,0,$F$5/'1. Unit Import'!$F$40)*(1-'2. Inputs'!$E$40)-AL63*'2. Inputs'!$E$41</f>
        <v>0</v>
      </c>
      <c r="AM65" s="18">
        <f>AM63*IF('1. Unit Import'!$F$40=0,0,$F$5/'1. Unit Import'!$F$40)*(1-'2. Inputs'!$E$40)-AM63*'2. Inputs'!$E$41</f>
        <v>0</v>
      </c>
      <c r="AN65" s="18">
        <f>AN63*IF('1. Unit Import'!$F$40=0,0,$F$5/'1. Unit Import'!$F$40)*(1-'2. Inputs'!$E$40)-AN63*'2. Inputs'!$E$41</f>
        <v>0</v>
      </c>
    </row>
    <row r="66" spans="2:40" x14ac:dyDescent="0.35">
      <c r="B66" s="7" t="s">
        <v>294</v>
      </c>
      <c r="E66" s="18">
        <f>$F$59+$F$60</f>
        <v>4113107.3449707697</v>
      </c>
      <c r="F66" s="18">
        <f t="shared" ref="F66:AN66" si="5">E69</f>
        <v>3107708.2133152187</v>
      </c>
      <c r="G66" s="18">
        <f t="shared" si="5"/>
        <v>2097701.0023062467</v>
      </c>
      <c r="H66" s="18">
        <f t="shared" si="5"/>
        <v>1083064.5915801502</v>
      </c>
      <c r="I66" s="18">
        <f t="shared" si="5"/>
        <v>63777.763971559121</v>
      </c>
      <c r="J66" s="18">
        <f t="shared" si="5"/>
        <v>0</v>
      </c>
      <c r="K66" s="18">
        <f t="shared" si="5"/>
        <v>0</v>
      </c>
      <c r="L66" s="18">
        <f t="shared" si="5"/>
        <v>0</v>
      </c>
      <c r="M66" s="18">
        <f t="shared" si="5"/>
        <v>0</v>
      </c>
      <c r="N66" s="18">
        <f t="shared" si="5"/>
        <v>0</v>
      </c>
      <c r="O66" s="18">
        <f t="shared" si="5"/>
        <v>0</v>
      </c>
      <c r="P66" s="18">
        <f t="shared" si="5"/>
        <v>0</v>
      </c>
      <c r="Q66" s="18">
        <f t="shared" si="5"/>
        <v>0</v>
      </c>
      <c r="R66" s="18">
        <f t="shared" si="5"/>
        <v>0</v>
      </c>
      <c r="S66" s="18">
        <f t="shared" si="5"/>
        <v>0</v>
      </c>
      <c r="T66" s="18">
        <f t="shared" si="5"/>
        <v>0</v>
      </c>
      <c r="U66" s="18">
        <f t="shared" si="5"/>
        <v>0</v>
      </c>
      <c r="V66" s="18">
        <f t="shared" si="5"/>
        <v>0</v>
      </c>
      <c r="W66" s="18">
        <f t="shared" si="5"/>
        <v>0</v>
      </c>
      <c r="X66" s="18">
        <f t="shared" si="5"/>
        <v>0</v>
      </c>
      <c r="Y66" s="18">
        <f t="shared" si="5"/>
        <v>0</v>
      </c>
      <c r="Z66" s="18">
        <f t="shared" si="5"/>
        <v>0</v>
      </c>
      <c r="AA66" s="18">
        <f t="shared" si="5"/>
        <v>0</v>
      </c>
      <c r="AB66" s="18">
        <f t="shared" si="5"/>
        <v>0</v>
      </c>
      <c r="AC66" s="18">
        <f t="shared" si="5"/>
        <v>0</v>
      </c>
      <c r="AD66" s="18">
        <f t="shared" si="5"/>
        <v>0</v>
      </c>
      <c r="AE66" s="18">
        <f t="shared" si="5"/>
        <v>0</v>
      </c>
      <c r="AF66" s="18">
        <f t="shared" si="5"/>
        <v>0</v>
      </c>
      <c r="AG66" s="18">
        <f t="shared" si="5"/>
        <v>0</v>
      </c>
      <c r="AH66" s="18">
        <f t="shared" si="5"/>
        <v>0</v>
      </c>
      <c r="AI66" s="18">
        <f t="shared" si="5"/>
        <v>0</v>
      </c>
      <c r="AJ66" s="18">
        <f t="shared" si="5"/>
        <v>0</v>
      </c>
      <c r="AK66" s="18">
        <f t="shared" si="5"/>
        <v>0</v>
      </c>
      <c r="AL66" s="18">
        <f t="shared" si="5"/>
        <v>0</v>
      </c>
      <c r="AM66" s="18">
        <f t="shared" si="5"/>
        <v>0</v>
      </c>
      <c r="AN66" s="18">
        <f t="shared" si="5"/>
        <v>0</v>
      </c>
    </row>
    <row r="67" spans="2:40" x14ac:dyDescent="0.35">
      <c r="B67" s="7" t="s">
        <v>318</v>
      </c>
      <c r="E67" s="18">
        <f>E66*'2. Inputs'!$E$47/12</f>
        <v>18851.741997782694</v>
      </c>
      <c r="F67" s="18">
        <f>F66*'2. Inputs'!$E$47/12</f>
        <v>14243.66264436142</v>
      </c>
      <c r="G67" s="18">
        <f>G66*'2. Inputs'!$E$47/12</f>
        <v>9614.4629272369639</v>
      </c>
      <c r="H67" s="18">
        <f>H66*'2. Inputs'!$E$47/12</f>
        <v>4964.0460447423548</v>
      </c>
      <c r="I67" s="18">
        <f>I66*'2. Inputs'!$E$47/12</f>
        <v>292.31475153631266</v>
      </c>
      <c r="J67" s="18">
        <f>J66*'2. Inputs'!$E$47/12</f>
        <v>0</v>
      </c>
      <c r="K67" s="18">
        <f>K66*'2. Inputs'!$E$47/12</f>
        <v>0</v>
      </c>
      <c r="L67" s="18">
        <f>L66*'2. Inputs'!$E$47/12</f>
        <v>0</v>
      </c>
      <c r="M67" s="18">
        <f>M66*'2. Inputs'!$E$47/12</f>
        <v>0</v>
      </c>
      <c r="N67" s="18">
        <f>N66*'2. Inputs'!$E$47/12</f>
        <v>0</v>
      </c>
      <c r="O67" s="18">
        <f>O66*'2. Inputs'!$E$47/12</f>
        <v>0</v>
      </c>
      <c r="P67" s="18">
        <f>P66*'2. Inputs'!$E$47/12</f>
        <v>0</v>
      </c>
      <c r="Q67" s="18">
        <f>Q66*'2. Inputs'!$E$47/12</f>
        <v>0</v>
      </c>
      <c r="R67" s="18">
        <f>R66*'2. Inputs'!$E$47/12</f>
        <v>0</v>
      </c>
      <c r="S67" s="18">
        <f>S66*'2. Inputs'!$E$47/12</f>
        <v>0</v>
      </c>
      <c r="T67" s="18">
        <f>T66*'2. Inputs'!$E$47/12</f>
        <v>0</v>
      </c>
      <c r="U67" s="18">
        <f>U66*'2. Inputs'!$E$47/12</f>
        <v>0</v>
      </c>
      <c r="V67" s="18">
        <f>V66*'2. Inputs'!$E$47/12</f>
        <v>0</v>
      </c>
      <c r="W67" s="18">
        <f>W66*'2. Inputs'!$E$47/12</f>
        <v>0</v>
      </c>
      <c r="X67" s="18">
        <f>X66*'2. Inputs'!$E$47/12</f>
        <v>0</v>
      </c>
      <c r="Y67" s="18">
        <f>Y66*'2. Inputs'!$E$47/12</f>
        <v>0</v>
      </c>
      <c r="Z67" s="18">
        <f>Z66*'2. Inputs'!$E$47/12</f>
        <v>0</v>
      </c>
      <c r="AA67" s="18">
        <f>AA66*'2. Inputs'!$E$47/12</f>
        <v>0</v>
      </c>
      <c r="AB67" s="18">
        <f>AB66*'2. Inputs'!$E$47/12</f>
        <v>0</v>
      </c>
      <c r="AC67" s="18">
        <f>AC66*'2. Inputs'!$E$47/12</f>
        <v>0</v>
      </c>
      <c r="AD67" s="18">
        <f>AD66*'2. Inputs'!$E$47/12</f>
        <v>0</v>
      </c>
      <c r="AE67" s="18">
        <f>AE66*'2. Inputs'!$E$47/12</f>
        <v>0</v>
      </c>
      <c r="AF67" s="18">
        <f>AF66*'2. Inputs'!$E$47/12</f>
        <v>0</v>
      </c>
      <c r="AG67" s="18">
        <f>AG66*'2. Inputs'!$E$47/12</f>
        <v>0</v>
      </c>
      <c r="AH67" s="18">
        <f>AH66*'2. Inputs'!$E$47/12</f>
        <v>0</v>
      </c>
      <c r="AI67" s="18">
        <f>AI66*'2. Inputs'!$E$47/12</f>
        <v>0</v>
      </c>
      <c r="AJ67" s="18">
        <f>AJ66*'2. Inputs'!$E$47/12</f>
        <v>0</v>
      </c>
      <c r="AK67" s="18">
        <f>AK66*'2. Inputs'!$E$47/12</f>
        <v>0</v>
      </c>
      <c r="AL67" s="18">
        <f>AL66*'2. Inputs'!$E$47/12</f>
        <v>0</v>
      </c>
      <c r="AM67" s="18">
        <f>AM66*'2. Inputs'!$E$47/12</f>
        <v>0</v>
      </c>
      <c r="AN67" s="18">
        <f>AN66*'2. Inputs'!$E$47/12</f>
        <v>0</v>
      </c>
    </row>
    <row r="68" spans="2:40" x14ac:dyDescent="0.35">
      <c r="B68" s="7" t="s">
        <v>296</v>
      </c>
      <c r="E68" s="18">
        <f t="shared" ref="E68:AN68" si="6">MIN(E66+E67,MAX(0,E65))</f>
        <v>1024250.8736533335</v>
      </c>
      <c r="F68" s="18">
        <f t="shared" si="6"/>
        <v>1024250.8736533335</v>
      </c>
      <c r="G68" s="18">
        <f t="shared" si="6"/>
        <v>1024250.8736533335</v>
      </c>
      <c r="H68" s="18">
        <f t="shared" si="6"/>
        <v>1024250.8736533335</v>
      </c>
      <c r="I68" s="18">
        <f t="shared" si="6"/>
        <v>64070.078723095437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8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8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8">
        <f t="shared" si="6"/>
        <v>0</v>
      </c>
      <c r="AK68" s="18">
        <f t="shared" si="6"/>
        <v>0</v>
      </c>
      <c r="AL68" s="18">
        <f t="shared" si="6"/>
        <v>0</v>
      </c>
      <c r="AM68" s="18">
        <f t="shared" si="6"/>
        <v>0</v>
      </c>
      <c r="AN68" s="18">
        <f t="shared" si="6"/>
        <v>0</v>
      </c>
    </row>
    <row r="69" spans="2:40" x14ac:dyDescent="0.35">
      <c r="B69" s="7" t="s">
        <v>297</v>
      </c>
      <c r="E69" s="18">
        <f t="shared" ref="E69:AN69" si="7">E66+E67-E68</f>
        <v>3107708.2133152187</v>
      </c>
      <c r="F69" s="18">
        <f t="shared" si="7"/>
        <v>2097701.0023062467</v>
      </c>
      <c r="G69" s="18">
        <f t="shared" si="7"/>
        <v>1083064.5915801502</v>
      </c>
      <c r="H69" s="18">
        <f t="shared" si="7"/>
        <v>63777.763971559121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8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8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8">
        <f t="shared" si="7"/>
        <v>0</v>
      </c>
      <c r="AK69" s="18">
        <f t="shared" si="7"/>
        <v>0</v>
      </c>
      <c r="AL69" s="18">
        <f t="shared" si="7"/>
        <v>0</v>
      </c>
      <c r="AM69" s="18">
        <f t="shared" si="7"/>
        <v>0</v>
      </c>
      <c r="AN69" s="18">
        <f t="shared" si="7"/>
        <v>0</v>
      </c>
    </row>
    <row r="71" spans="2:40" x14ac:dyDescent="0.35">
      <c r="C71" s="7" t="s">
        <v>319</v>
      </c>
      <c r="F71" s="18">
        <f>SUM(E67:AN67)</f>
        <v>47966.22836565975</v>
      </c>
    </row>
    <row r="72" spans="2:40" x14ac:dyDescent="0.35">
      <c r="C72" s="13" t="s">
        <v>320</v>
      </c>
      <c r="F72" s="20">
        <f>F9-F60-F71</f>
        <v>687155.0986635728</v>
      </c>
    </row>
    <row r="73" spans="2:40" x14ac:dyDescent="0.35">
      <c r="C73" s="7" t="s">
        <v>321</v>
      </c>
      <c r="F73" s="18">
        <f>F72-F36</f>
        <v>-15468.857709268457</v>
      </c>
    </row>
    <row r="74" spans="2:40" x14ac:dyDescent="0.35">
      <c r="C74" s="7" t="s">
        <v>282</v>
      </c>
      <c r="F74" s="18">
        <f>F72*'2. Inputs'!E34</f>
        <v>343577.5493317864</v>
      </c>
    </row>
    <row r="75" spans="2:40" x14ac:dyDescent="0.35">
      <c r="C75" s="7" t="s">
        <v>8</v>
      </c>
      <c r="F75" s="27">
        <f>IF('2. Inputs'!E36=0,0,F74/'2. Inputs'!E36)</f>
        <v>0.49082507047398055</v>
      </c>
    </row>
  </sheetData>
  <mergeCells count="4">
    <mergeCell ref="B4:H4"/>
    <mergeCell ref="B20:H20"/>
    <mergeCell ref="B42:H42"/>
    <mergeCell ref="B57:H5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1"/>
  <sheetViews>
    <sheetView showGridLines="0" topLeftCell="A13" zoomScaleNormal="100" workbookViewId="0">
      <selection activeCell="K22" sqref="K22"/>
    </sheetView>
  </sheetViews>
  <sheetFormatPr defaultColWidth="8.6328125" defaultRowHeight="14.5" x14ac:dyDescent="0.35"/>
  <cols>
    <col min="1" max="1" width="2" customWidth="1"/>
    <col min="2" max="2" width="18" customWidth="1"/>
    <col min="3" max="8" width="13" customWidth="1"/>
  </cols>
  <sheetData>
    <row r="2" spans="2:8" ht="18" x14ac:dyDescent="0.4">
      <c r="B2" s="4" t="s">
        <v>322</v>
      </c>
    </row>
    <row r="4" spans="2:8" x14ac:dyDescent="0.35">
      <c r="B4" s="33" t="s">
        <v>323</v>
      </c>
      <c r="F4" s="18">
        <f>'4. Cashflow'!C44-'3. Dev Costs'!F70-'3. Dev Costs'!F71</f>
        <v>5369660.0797920479</v>
      </c>
    </row>
    <row r="6" spans="2:8" x14ac:dyDescent="0.35">
      <c r="B6" s="3" t="s">
        <v>324</v>
      </c>
      <c r="C6" s="3"/>
      <c r="D6" s="3"/>
      <c r="E6" s="3"/>
      <c r="F6" s="3"/>
    </row>
    <row r="7" spans="2:8" x14ac:dyDescent="0.35">
      <c r="B7" s="13" t="s">
        <v>325</v>
      </c>
      <c r="C7" s="13" t="s">
        <v>6</v>
      </c>
      <c r="D7" s="13" t="s">
        <v>7</v>
      </c>
    </row>
    <row r="8" spans="2:8" x14ac:dyDescent="0.35">
      <c r="B8" s="26">
        <v>-0.1</v>
      </c>
      <c r="C8" s="18">
        <f>'1. Unit Import'!$F$42*(1+B8)*(1-'2. Inputs'!$E$40)-'2. Inputs'!$E$41*'1. Unit Import'!$F$40-$F$4</f>
        <v>160394.63793595321</v>
      </c>
      <c r="D8" s="27">
        <f>IF('1. Unit Import'!$F$42=0,0,C8/('1. Unit Import'!$F$42*(1+B8)))</f>
        <v>2.852268598489625E-2</v>
      </c>
    </row>
    <row r="9" spans="2:8" x14ac:dyDescent="0.35">
      <c r="B9" s="26">
        <v>-0.05</v>
      </c>
      <c r="C9" s="18">
        <f>'1. Unit Import'!$F$42*(1+B9)*(1-'2. Inputs'!$E$40)-'2. Inputs'!$E$41*'1. Unit Import'!$F$40-$F$4</f>
        <v>468119.90003195312</v>
      </c>
      <c r="D9" s="27">
        <f>IF('1. Unit Import'!$F$42=0,0,C9/('1. Unit Import'!$F$42*(1+B9)))</f>
        <v>7.886359724884906E-2</v>
      </c>
    </row>
    <row r="10" spans="2:8" x14ac:dyDescent="0.35">
      <c r="B10" s="26">
        <v>0</v>
      </c>
      <c r="C10" s="18">
        <f>'1. Unit Import'!$F$42*(1+B10)*(1-'2. Inputs'!$E$40)-'2. Inputs'!$E$41*'1. Unit Import'!$F$40-$F$4</f>
        <v>775845.16212795302</v>
      </c>
      <c r="D10" s="27">
        <f>IF('1. Unit Import'!$F$42=0,0,C10/('1. Unit Import'!$F$42*(1+B10)))</f>
        <v>0.12417041738640658</v>
      </c>
    </row>
    <row r="11" spans="2:8" x14ac:dyDescent="0.35">
      <c r="B11" s="26">
        <v>0.05</v>
      </c>
      <c r="C11" s="18">
        <f>'1. Unit Import'!$F$42*(1+B11)*(1-'2. Inputs'!$E$40)-'2. Inputs'!$E$41*'1. Unit Import'!$F$40-$F$4</f>
        <v>1083570.4242239529</v>
      </c>
      <c r="D11" s="27">
        <f>IF('1. Unit Import'!$F$42=0,0,C11/('1. Unit Import'!$F$42*(1+B11)))</f>
        <v>0.16516230227276815</v>
      </c>
    </row>
    <row r="12" spans="2:8" x14ac:dyDescent="0.35">
      <c r="B12" s="26">
        <v>0.1</v>
      </c>
      <c r="C12" s="18">
        <f>'1. Unit Import'!$F$42*(1+B12)*(1-'2. Inputs'!$E$40)-'2. Inputs'!$E$41*'1. Unit Import'!$F$40-$F$4</f>
        <v>1391295.6863199538</v>
      </c>
      <c r="D12" s="27">
        <f>IF('1. Unit Import'!$F$42=0,0,C12/('1. Unit Import'!$F$42*(1+B12)))</f>
        <v>0.20242765216946063</v>
      </c>
    </row>
    <row r="15" spans="2:8" x14ac:dyDescent="0.35">
      <c r="B15" s="3" t="s">
        <v>326</v>
      </c>
      <c r="C15" s="3"/>
      <c r="D15" s="3"/>
      <c r="E15" s="3"/>
      <c r="F15" s="3"/>
      <c r="G15" s="3"/>
      <c r="H15" s="3"/>
    </row>
    <row r="16" spans="2:8" x14ac:dyDescent="0.35">
      <c r="B16" s="13" t="s">
        <v>327</v>
      </c>
      <c r="C16" s="15">
        <v>1</v>
      </c>
      <c r="D16" s="15">
        <v>2</v>
      </c>
      <c r="E16" s="15">
        <v>3</v>
      </c>
      <c r="F16" s="15">
        <v>4</v>
      </c>
      <c r="G16" s="15">
        <v>6</v>
      </c>
    </row>
    <row r="17" spans="2:8" x14ac:dyDescent="0.35">
      <c r="B17" s="11">
        <f>B8</f>
        <v>-0.1</v>
      </c>
      <c r="C17" s="18">
        <f>$C$8-'4. Cashflow'!$C$40*('2. Inputs'!$E$25/12)*(MIN(ROUNDUP('1. Unit Import'!$F$40/C$16,0),ROUNDUP('4. Cashflow'!$C$40/MAX(1,(C$16*('1. Unit Import'!$F$42*(1+$B17)/'1. Unit Import'!$F$40)*(1-'2. Inputs'!$E$40)-C$16*'2. Inputs'!$E$41)),0))+1)/2</f>
        <v>16164.388627984794</v>
      </c>
      <c r="D17" s="18">
        <f>$C$8-'4. Cashflow'!$C$40*('2. Inputs'!$E$25/12)*(MIN(ROUNDUP('1. Unit Import'!$F$40/D$16,0),ROUNDUP('4. Cashflow'!$C$40/MAX(1,(D$16*('1. Unit Import'!$F$42*(1+$B17)/'1. Unit Import'!$F$40)*(1-'2. Inputs'!$E$40)-D$16*'2. Inputs'!$E$41)),0))+1)/2</f>
        <v>73856.488351172156</v>
      </c>
      <c r="E17" s="18">
        <f>$C$8-'4. Cashflow'!$C$40*('2. Inputs'!$E$25/12)*(MIN(ROUNDUP('1. Unit Import'!$F$40/E$16,0),ROUNDUP('4. Cashflow'!$C$40/MAX(1,(E$16*('1. Unit Import'!$F$42*(1+$B17)/'1. Unit Import'!$F$40)*(1-'2. Inputs'!$E$40)-E$16*'2. Inputs'!$E$41)),0))+1)/2</f>
        <v>102702.53821276585</v>
      </c>
      <c r="F17" s="18">
        <f>$C$8-'4. Cashflow'!$C$40*('2. Inputs'!$E$25/12)*(MIN(ROUNDUP('1. Unit Import'!$F$40/F$16,0),ROUNDUP('4. Cashflow'!$C$40/MAX(1,(F$16*('1. Unit Import'!$F$42*(1+$B17)/'1. Unit Import'!$F$40)*(1-'2. Inputs'!$E$40)-F$16*'2. Inputs'!$E$41)),0))+1)/2</f>
        <v>102702.53821276585</v>
      </c>
      <c r="G17" s="18">
        <f>$C$8-'4. Cashflow'!$C$40*('2. Inputs'!$E$25/12)*(MIN(ROUNDUP('1. Unit Import'!$F$40/G$16,0),ROUNDUP('4. Cashflow'!$C$40/MAX(1,(G$16*('1. Unit Import'!$F$42*(1+$B17)/'1. Unit Import'!$F$40)*(1-'2. Inputs'!$E$40)-G$16*'2. Inputs'!$E$41)),0))+1)/2</f>
        <v>117125.56314356269</v>
      </c>
    </row>
    <row r="18" spans="2:8" x14ac:dyDescent="0.35">
      <c r="B18" s="11">
        <f>B9</f>
        <v>-0.05</v>
      </c>
      <c r="C18" s="18">
        <f>$C$9-'4. Cashflow'!$C$40*('2. Inputs'!$E$25/12)*(MIN(ROUNDUP('1. Unit Import'!$F$40/C$16,0),ROUNDUP('4. Cashflow'!$C$40/MAX(1,(C$16*('1. Unit Import'!$F$42*(1+$B18)/'1. Unit Import'!$F$40)*(1-'2. Inputs'!$E$40)-C$16*'2. Inputs'!$E$41)),0))+1)/2</f>
        <v>323889.6507239847</v>
      </c>
      <c r="D18" s="18">
        <f>$C$9-'4. Cashflow'!$C$40*('2. Inputs'!$E$25/12)*(MIN(ROUNDUP('1. Unit Import'!$F$40/D$16,0),ROUNDUP('4. Cashflow'!$C$40/MAX(1,(D$16*('1. Unit Import'!$F$42*(1+$B18)/'1. Unit Import'!$F$40)*(1-'2. Inputs'!$E$40)-D$16*'2. Inputs'!$E$41)),0))+1)/2</f>
        <v>381581.75044717209</v>
      </c>
      <c r="E18" s="18">
        <f>$C$9-'4. Cashflow'!$C$40*('2. Inputs'!$E$25/12)*(MIN(ROUNDUP('1. Unit Import'!$F$40/E$16,0),ROUNDUP('4. Cashflow'!$C$40/MAX(1,(E$16*('1. Unit Import'!$F$42*(1+$B18)/'1. Unit Import'!$F$40)*(1-'2. Inputs'!$E$40)-E$16*'2. Inputs'!$E$41)),0))+1)/2</f>
        <v>410427.80030876573</v>
      </c>
      <c r="F18" s="18">
        <f>$C$9-'4. Cashflow'!$C$40*('2. Inputs'!$E$25/12)*(MIN(ROUNDUP('1. Unit Import'!$F$40/F$16,0),ROUNDUP('4. Cashflow'!$C$40/MAX(1,(F$16*('1. Unit Import'!$F$42*(1+$B18)/'1. Unit Import'!$F$40)*(1-'2. Inputs'!$E$40)-F$16*'2. Inputs'!$E$41)),0))+1)/2</f>
        <v>410427.80030876573</v>
      </c>
      <c r="G18" s="18">
        <f>$C$9-'4. Cashflow'!$C$40*('2. Inputs'!$E$25/12)*(MIN(ROUNDUP('1. Unit Import'!$F$40/G$16,0),ROUNDUP('4. Cashflow'!$C$40/MAX(1,(G$16*('1. Unit Import'!$F$42*(1+$B18)/'1. Unit Import'!$F$40)*(1-'2. Inputs'!$E$40)-G$16*'2. Inputs'!$E$41)),0))+1)/2</f>
        <v>424850.8252395626</v>
      </c>
    </row>
    <row r="19" spans="2:8" x14ac:dyDescent="0.35">
      <c r="B19" s="11">
        <f>B10</f>
        <v>0</v>
      </c>
      <c r="C19" s="18">
        <f>$C$10-'4. Cashflow'!$C$40*('2. Inputs'!$E$25/12)*(MIN(ROUNDUP('1. Unit Import'!$F$40/C$16,0),ROUNDUP('4. Cashflow'!$C$40/MAX(1,(C$16*('1. Unit Import'!$F$42*(1+$B19)/'1. Unit Import'!$F$40)*(1-'2. Inputs'!$E$40)-C$16*'2. Inputs'!$E$41)),0))+1)/2</f>
        <v>646037.93775078142</v>
      </c>
      <c r="D19" s="18">
        <f>$C$10-'4. Cashflow'!$C$40*('2. Inputs'!$E$25/12)*(MIN(ROUNDUP('1. Unit Import'!$F$40/D$16,0),ROUNDUP('4. Cashflow'!$C$40/MAX(1,(D$16*('1. Unit Import'!$F$42*(1+$B19)/'1. Unit Import'!$F$40)*(1-'2. Inputs'!$E$40)-D$16*'2. Inputs'!$E$41)),0))+1)/2</f>
        <v>703730.03747396881</v>
      </c>
      <c r="E19" s="18">
        <f>$C$10-'4. Cashflow'!$C$40*('2. Inputs'!$E$25/12)*(MIN(ROUNDUP('1. Unit Import'!$F$40/E$16,0),ROUNDUP('4. Cashflow'!$C$40/MAX(1,(E$16*('1. Unit Import'!$F$42*(1+$B19)/'1. Unit Import'!$F$40)*(1-'2. Inputs'!$E$40)-E$16*'2. Inputs'!$E$41)),0))+1)/2</f>
        <v>718153.06240476563</v>
      </c>
      <c r="F19" s="18">
        <f>$C$10-'4. Cashflow'!$C$40*('2. Inputs'!$E$25/12)*(MIN(ROUNDUP('1. Unit Import'!$F$40/F$16,0),ROUNDUP('4. Cashflow'!$C$40/MAX(1,(F$16*('1. Unit Import'!$F$42*(1+$B19)/'1. Unit Import'!$F$40)*(1-'2. Inputs'!$E$40)-F$16*'2. Inputs'!$E$41)),0))+1)/2</f>
        <v>732576.08733556245</v>
      </c>
      <c r="G19" s="18">
        <f>$C$10-'4. Cashflow'!$C$40*('2. Inputs'!$E$25/12)*(MIN(ROUNDUP('1. Unit Import'!$F$40/G$16,0),ROUNDUP('4. Cashflow'!$C$40/MAX(1,(G$16*('1. Unit Import'!$F$42*(1+$B19)/'1. Unit Import'!$F$40)*(1-'2. Inputs'!$E$40)-G$16*'2. Inputs'!$E$41)),0))+1)/2</f>
        <v>732576.08733556245</v>
      </c>
    </row>
    <row r="20" spans="2:8" x14ac:dyDescent="0.35">
      <c r="B20" s="11">
        <f>B11</f>
        <v>0.05</v>
      </c>
      <c r="C20" s="18">
        <f>$C$11-'4. Cashflow'!$C$40*('2. Inputs'!$E$25/12)*(MIN(ROUNDUP('1. Unit Import'!$F$40/C$16,0),ROUNDUP('4. Cashflow'!$C$40/MAX(1,(C$16*('1. Unit Import'!$F$42*(1+$B20)/'1. Unit Import'!$F$40)*(1-'2. Inputs'!$E$40)-C$16*'2. Inputs'!$E$41)),0))+1)/2</f>
        <v>953763.19984678132</v>
      </c>
      <c r="D20" s="18">
        <f>$C$11-'4. Cashflow'!$C$40*('2. Inputs'!$E$25/12)*(MIN(ROUNDUP('1. Unit Import'!$F$40/D$16,0),ROUNDUP('4. Cashflow'!$C$40/MAX(1,(D$16*('1. Unit Import'!$F$42*(1+$B20)/'1. Unit Import'!$F$40)*(1-'2. Inputs'!$E$40)-D$16*'2. Inputs'!$E$41)),0))+1)/2</f>
        <v>1011455.2995699687</v>
      </c>
      <c r="E20" s="18">
        <f>$C$11-'4. Cashflow'!$C$40*('2. Inputs'!$E$25/12)*(MIN(ROUNDUP('1. Unit Import'!$F$40/E$16,0),ROUNDUP('4. Cashflow'!$C$40/MAX(1,(E$16*('1. Unit Import'!$F$42*(1+$B20)/'1. Unit Import'!$F$40)*(1-'2. Inputs'!$E$40)-E$16*'2. Inputs'!$E$41)),0))+1)/2</f>
        <v>1025878.3245007655</v>
      </c>
      <c r="F20" s="18">
        <f>$C$11-'4. Cashflow'!$C$40*('2. Inputs'!$E$25/12)*(MIN(ROUNDUP('1. Unit Import'!$F$40/F$16,0),ROUNDUP('4. Cashflow'!$C$40/MAX(1,(F$16*('1. Unit Import'!$F$42*(1+$B20)/'1. Unit Import'!$F$40)*(1-'2. Inputs'!$E$40)-F$16*'2. Inputs'!$E$41)),0))+1)/2</f>
        <v>1040301.3494315624</v>
      </c>
      <c r="G20" s="18">
        <f>$C$11-'4. Cashflow'!$C$40*('2. Inputs'!$E$25/12)*(MIN(ROUNDUP('1. Unit Import'!$F$40/G$16,0),ROUNDUP('4. Cashflow'!$C$40/MAX(1,(G$16*('1. Unit Import'!$F$42*(1+$B20)/'1. Unit Import'!$F$40)*(1-'2. Inputs'!$E$40)-G$16*'2. Inputs'!$E$41)),0))+1)/2</f>
        <v>1040301.3494315624</v>
      </c>
    </row>
    <row r="21" spans="2:8" x14ac:dyDescent="0.35">
      <c r="B21" s="11">
        <f>B12</f>
        <v>0.1</v>
      </c>
      <c r="C21" s="18">
        <f>$C$12-'4. Cashflow'!$C$40*('2. Inputs'!$E$25/12)*(MIN(ROUNDUP('1. Unit Import'!$F$40/C$16,0),ROUNDUP('4. Cashflow'!$C$40/MAX(1,(C$16*('1. Unit Import'!$F$42*(1+$B21)/'1. Unit Import'!$F$40)*(1-'2. Inputs'!$E$40)-C$16*'2. Inputs'!$E$41)),0))+1)/2</f>
        <v>1261488.4619427822</v>
      </c>
      <c r="D21" s="18">
        <f>$C$12-'4. Cashflow'!$C$40*('2. Inputs'!$E$25/12)*(MIN(ROUNDUP('1. Unit Import'!$F$40/D$16,0),ROUNDUP('4. Cashflow'!$C$40/MAX(1,(D$16*('1. Unit Import'!$F$42*(1+$B21)/'1. Unit Import'!$F$40)*(1-'2. Inputs'!$E$40)-D$16*'2. Inputs'!$E$41)),0))+1)/2</f>
        <v>1319180.5616659694</v>
      </c>
      <c r="E21" s="18">
        <f>$C$12-'4. Cashflow'!$C$40*('2. Inputs'!$E$25/12)*(MIN(ROUNDUP('1. Unit Import'!$F$40/E$16,0),ROUNDUP('4. Cashflow'!$C$40/MAX(1,(E$16*('1. Unit Import'!$F$42*(1+$B21)/'1. Unit Import'!$F$40)*(1-'2. Inputs'!$E$40)-E$16*'2. Inputs'!$E$41)),0))+1)/2</f>
        <v>1333603.5865967665</v>
      </c>
      <c r="F21" s="18">
        <f>$C$12-'4. Cashflow'!$C$40*('2. Inputs'!$E$25/12)*(MIN(ROUNDUP('1. Unit Import'!$F$40/F$16,0),ROUNDUP('4. Cashflow'!$C$40/MAX(1,(F$16*('1. Unit Import'!$F$42*(1+$B21)/'1. Unit Import'!$F$40)*(1-'2. Inputs'!$E$40)-F$16*'2. Inputs'!$E$41)),0))+1)/2</f>
        <v>1348026.6115275633</v>
      </c>
      <c r="G21" s="18">
        <f>$C$12-'4. Cashflow'!$C$40*('2. Inputs'!$E$25/12)*(MIN(ROUNDUP('1. Unit Import'!$F$40/G$16,0),ROUNDUP('4. Cashflow'!$C$40/MAX(1,(G$16*('1. Unit Import'!$F$42*(1+$B21)/'1. Unit Import'!$F$40)*(1-'2. Inputs'!$E$40)-G$16*'2. Inputs'!$E$41)),0))+1)/2</f>
        <v>1348026.6115275633</v>
      </c>
    </row>
    <row r="23" spans="2:8" x14ac:dyDescent="0.35">
      <c r="B23" s="12" t="s">
        <v>328</v>
      </c>
    </row>
    <row r="25" spans="2:8" x14ac:dyDescent="0.35">
      <c r="B25" s="3" t="s">
        <v>329</v>
      </c>
      <c r="C25" s="3"/>
      <c r="D25" s="3"/>
      <c r="E25" s="3"/>
      <c r="F25" s="3"/>
      <c r="G25" s="3"/>
      <c r="H25" s="3"/>
    </row>
    <row r="26" spans="2:8" x14ac:dyDescent="0.35">
      <c r="B26" s="13" t="s">
        <v>330</v>
      </c>
      <c r="C26" s="26">
        <v>0.55000000000000004</v>
      </c>
      <c r="D26" s="26">
        <v>0.6</v>
      </c>
      <c r="E26" s="26">
        <v>0.65</v>
      </c>
      <c r="F26" s="26">
        <v>0.7</v>
      </c>
    </row>
    <row r="27" spans="2:8" x14ac:dyDescent="0.35">
      <c r="B27" s="26">
        <v>4.4999999999999998E-2</v>
      </c>
      <c r="C27" s="18">
        <f>'5. Scenarios'!$F$48-'5. Scenarios'!$F$5*C$26*$B27</f>
        <v>39156.340367999976</v>
      </c>
      <c r="D27" s="18">
        <f>'5. Scenarios'!$F$48-'5. Scenarios'!$F$5*D$26*$B27</f>
        <v>25097.825855999981</v>
      </c>
      <c r="E27" s="18">
        <f>'5. Scenarios'!$F$48-'5. Scenarios'!$F$5*E$26*$B27</f>
        <v>11039.311343999958</v>
      </c>
      <c r="F27" s="18">
        <f>'5. Scenarios'!$F$48-'5. Scenarios'!$F$5*F$26*$B27</f>
        <v>-3019.2031680000073</v>
      </c>
    </row>
    <row r="28" spans="2:8" x14ac:dyDescent="0.35">
      <c r="B28" s="26">
        <v>0.05</v>
      </c>
      <c r="C28" s="18">
        <f>'5. Scenarios'!$F$48-'5. Scenarios'!$F$5*C$26*$B28</f>
        <v>21973.711519999953</v>
      </c>
      <c r="D28" s="18">
        <f>'5. Scenarios'!$F$48-'5. Scenarios'!$F$5*D$26*$B28</f>
        <v>6353.1398399999598</v>
      </c>
      <c r="E28" s="18">
        <f>'5. Scenarios'!$F$48-'5. Scenarios'!$F$5*E$26*$B28</f>
        <v>-9267.4318400000629</v>
      </c>
      <c r="F28" s="18">
        <f>'5. Scenarios'!$F$48-'5. Scenarios'!$F$5*F$26*$B28</f>
        <v>-24888.003520000027</v>
      </c>
    </row>
    <row r="29" spans="2:8" x14ac:dyDescent="0.35">
      <c r="B29" s="26">
        <v>5.5E-2</v>
      </c>
      <c r="C29" s="18">
        <f>'5. Scenarios'!$F$48-'5. Scenarios'!$F$5*C$26*$B29</f>
        <v>4791.0826719999604</v>
      </c>
      <c r="D29" s="18">
        <f>'5. Scenarios'!$F$48-'5. Scenarios'!$F$5*D$26*$B29</f>
        <v>-12391.546176000033</v>
      </c>
      <c r="E29" s="18">
        <f>'5. Scenarios'!$F$48-'5. Scenarios'!$F$5*E$26*$B29</f>
        <v>-29574.175024000055</v>
      </c>
      <c r="F29" s="18">
        <f>'5. Scenarios'!$F$48-'5. Scenarios'!$F$5*F$26*$B29</f>
        <v>-46756.803872000019</v>
      </c>
    </row>
    <row r="30" spans="2:8" x14ac:dyDescent="0.35">
      <c r="B30" s="26">
        <v>0.06</v>
      </c>
      <c r="C30" s="18">
        <f>'5. Scenarios'!$F$48-'5. Scenarios'!$F$5*C$26*$B30</f>
        <v>-12391.546176000033</v>
      </c>
      <c r="D30" s="18">
        <f>'5. Scenarios'!$F$48-'5. Scenarios'!$F$5*D$26*$B30</f>
        <v>-31136.232192000054</v>
      </c>
      <c r="E30" s="18">
        <f>'5. Scenarios'!$F$48-'5. Scenarios'!$F$5*E$26*$B30</f>
        <v>-49880.918208000046</v>
      </c>
      <c r="F30" s="18">
        <f>'5. Scenarios'!$F$48-'5. Scenarios'!$F$5*F$26*$B30</f>
        <v>-68625.60422400001</v>
      </c>
    </row>
    <row r="31" spans="2:8" x14ac:dyDescent="0.35">
      <c r="B31" s="26">
        <v>6.5000000000000002E-2</v>
      </c>
      <c r="C31" s="18">
        <f>'5. Scenarios'!$F$48-'5. Scenarios'!$F$5*C$26*$B31</f>
        <v>-29574.175024000055</v>
      </c>
      <c r="D31" s="18">
        <f>'5. Scenarios'!$F$48-'5. Scenarios'!$F$5*D$26*$B31</f>
        <v>-49880.918208000046</v>
      </c>
      <c r="E31" s="18">
        <f>'5. Scenarios'!$F$48-'5. Scenarios'!$F$5*E$26*$B31</f>
        <v>-70187.661392000096</v>
      </c>
      <c r="F31" s="18">
        <f>'5. Scenarios'!$F$48-'5. Scenarios'!$F$5*F$26*$B31</f>
        <v>-90494.404576000059</v>
      </c>
    </row>
  </sheetData>
  <mergeCells count="3">
    <mergeCell ref="B6:F6"/>
    <mergeCell ref="B15:H15"/>
    <mergeCell ref="B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F49E-2209-471B-95FF-19C32CD7716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1. Unit Import</vt:lpstr>
      <vt:lpstr>2. Inputs</vt:lpstr>
      <vt:lpstr>3. Dev Costs</vt:lpstr>
      <vt:lpstr>4. Cashflow</vt:lpstr>
      <vt:lpstr>5. Scenarios</vt:lpstr>
      <vt:lpstr>6. Sensitivity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 Satis</cp:lastModifiedBy>
  <cp:revision>0</cp:revision>
  <dcterms:created xsi:type="dcterms:W3CDTF">2026-07-23T12:50:08Z</dcterms:created>
  <dcterms:modified xsi:type="dcterms:W3CDTF">2026-07-23T13:02:00Z</dcterms:modified>
  <dc:language>en-US</dc:language>
</cp:coreProperties>
</file>